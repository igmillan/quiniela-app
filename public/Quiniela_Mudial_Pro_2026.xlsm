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gmillan/quiniela-app/public/"/>
    </mc:Choice>
  </mc:AlternateContent>
  <xr:revisionPtr revIDLastSave="0" documentId="8_{FFB9B8A1-2E99-194A-9A9E-679269D9709D}" xr6:coauthVersionLast="47" xr6:coauthVersionMax="47" xr10:uidLastSave="{00000000-0000-0000-0000-000000000000}"/>
  <bookViews>
    <workbookView xWindow="0" yWindow="600" windowWidth="38400" windowHeight="19200" xr2:uid="{00000000-000D-0000-FFFF-FFFF00000000}"/>
  </bookViews>
  <sheets>
    <sheet name="INSTRUCCIONES" sheetId="1" r:id="rId1"/>
    <sheet name="1_GRUPOS" sheetId="2" r:id="rId2"/>
    <sheet name="_CALC" sheetId="3" state="hidden" r:id="rId3"/>
    <sheet name="TABLA_GRUPOS" sheetId="4" r:id="rId4"/>
    <sheet name="2_16AVOS" sheetId="5" r:id="rId5"/>
    <sheet name="3_OCTAVOS" sheetId="6" r:id="rId6"/>
    <sheet name="4_CUARTOS" sheetId="7" r:id="rId7"/>
    <sheet name="5_SEMIS" sheetId="8" r:id="rId8"/>
    <sheet name="6_FINAL" sheetId="9" r:id="rId9"/>
    <sheet name="CATALOGO" sheetId="10" r:id="rId10"/>
  </sheets>
  <functionGroups builtInGroupCount="19"/>
  <calcPr calcId="191029" iterateDelta="1E-4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5" l="1"/>
  <c r="F4" i="6" s="1"/>
  <c r="K5" i="5"/>
  <c r="C4" i="6" s="1"/>
  <c r="K4" i="6" s="1"/>
  <c r="C4" i="7" s="1"/>
  <c r="K4" i="7" s="1"/>
  <c r="C4" i="8" s="1"/>
  <c r="Z33" i="4"/>
  <c r="Q33" i="4"/>
  <c r="H33" i="4"/>
  <c r="Z32" i="4"/>
  <c r="Q32" i="4"/>
  <c r="H32" i="4"/>
  <c r="Z31" i="4"/>
  <c r="Q31" i="4"/>
  <c r="H31" i="4"/>
  <c r="Z30" i="4"/>
  <c r="Q30" i="4"/>
  <c r="H30" i="4"/>
  <c r="Z25" i="4"/>
  <c r="Q25" i="4"/>
  <c r="H25" i="4"/>
  <c r="Z24" i="4"/>
  <c r="Q24" i="4"/>
  <c r="H24" i="4"/>
  <c r="Z23" i="4"/>
  <c r="Q23" i="4"/>
  <c r="H23" i="4"/>
  <c r="Z22" i="4"/>
  <c r="Q22" i="4"/>
  <c r="H22" i="4"/>
  <c r="Z17" i="4"/>
  <c r="Q17" i="4"/>
  <c r="H17" i="4"/>
  <c r="Z16" i="4"/>
  <c r="Q16" i="4"/>
  <c r="H16" i="4"/>
  <c r="Z15" i="4"/>
  <c r="Q15" i="4"/>
  <c r="H15" i="4"/>
  <c r="Z14" i="4"/>
  <c r="Q14" i="4"/>
  <c r="H14" i="4"/>
  <c r="Z9" i="4"/>
  <c r="Q9" i="4"/>
  <c r="H9" i="4"/>
  <c r="Z8" i="4"/>
  <c r="Q8" i="4"/>
  <c r="H8" i="4"/>
  <c r="Z7" i="4"/>
  <c r="Q7" i="4"/>
  <c r="H7" i="4"/>
  <c r="Z6" i="4"/>
  <c r="Q6" i="4"/>
  <c r="H6" i="4"/>
  <c r="F49" i="3"/>
  <c r="E49" i="3"/>
  <c r="D49" i="3"/>
  <c r="F48" i="3"/>
  <c r="E48" i="3"/>
  <c r="D48" i="3"/>
  <c r="F47" i="3"/>
  <c r="E47" i="3"/>
  <c r="D47" i="3"/>
  <c r="F46" i="3"/>
  <c r="E46" i="3"/>
  <c r="D46" i="3"/>
  <c r="F45" i="3"/>
  <c r="E45" i="3"/>
  <c r="D45" i="3"/>
  <c r="F44" i="3"/>
  <c r="E44" i="3"/>
  <c r="D44" i="3"/>
  <c r="F43" i="3"/>
  <c r="E43" i="3"/>
  <c r="D43" i="3"/>
  <c r="F42" i="3"/>
  <c r="E42" i="3"/>
  <c r="D42" i="3"/>
  <c r="F41" i="3"/>
  <c r="E41" i="3"/>
  <c r="D41" i="3"/>
  <c r="F40" i="3"/>
  <c r="E40" i="3"/>
  <c r="D40" i="3"/>
  <c r="F39" i="3"/>
  <c r="E39" i="3"/>
  <c r="D39" i="3"/>
  <c r="F38" i="3"/>
  <c r="E38" i="3"/>
  <c r="D38" i="3"/>
  <c r="F37" i="3"/>
  <c r="E37" i="3"/>
  <c r="D37" i="3"/>
  <c r="F36" i="3"/>
  <c r="E36" i="3"/>
  <c r="D36" i="3"/>
  <c r="F35" i="3"/>
  <c r="E35" i="3"/>
  <c r="D35" i="3"/>
  <c r="F34" i="3"/>
  <c r="E34" i="3"/>
  <c r="D34" i="3"/>
  <c r="F33" i="3"/>
  <c r="E33" i="3"/>
  <c r="D33" i="3"/>
  <c r="F32" i="3"/>
  <c r="E32" i="3"/>
  <c r="D32" i="3"/>
  <c r="F31" i="3"/>
  <c r="E31" i="3"/>
  <c r="D31" i="3"/>
  <c r="F30" i="3"/>
  <c r="E30" i="3"/>
  <c r="D30" i="3"/>
  <c r="F29" i="3"/>
  <c r="E29" i="3"/>
  <c r="D29" i="3"/>
  <c r="F28" i="3"/>
  <c r="E28" i="3"/>
  <c r="D28" i="3"/>
  <c r="F27" i="3"/>
  <c r="E27" i="3"/>
  <c r="D27" i="3"/>
  <c r="F26" i="3"/>
  <c r="E26" i="3"/>
  <c r="D26" i="3"/>
  <c r="F25" i="3"/>
  <c r="E25" i="3"/>
  <c r="D25" i="3"/>
  <c r="F24" i="3"/>
  <c r="E24" i="3"/>
  <c r="D24" i="3"/>
  <c r="F23" i="3"/>
  <c r="E23" i="3"/>
  <c r="D23" i="3"/>
  <c r="F22" i="3"/>
  <c r="E22" i="3"/>
  <c r="D22" i="3"/>
  <c r="F21" i="3"/>
  <c r="E21" i="3"/>
  <c r="D21" i="3"/>
  <c r="F20" i="3"/>
  <c r="E20" i="3"/>
  <c r="D20" i="3"/>
  <c r="F19" i="3"/>
  <c r="E19" i="3"/>
  <c r="D19" i="3"/>
  <c r="F18" i="3"/>
  <c r="E18" i="3"/>
  <c r="D18" i="3"/>
  <c r="F17" i="3"/>
  <c r="E17" i="3"/>
  <c r="D17" i="3"/>
  <c r="F16" i="3"/>
  <c r="E16" i="3"/>
  <c r="D16" i="3"/>
  <c r="F15" i="3"/>
  <c r="E15" i="3"/>
  <c r="D15" i="3"/>
  <c r="F14" i="3"/>
  <c r="E14" i="3"/>
  <c r="D14" i="3"/>
  <c r="F13" i="3"/>
  <c r="E13" i="3"/>
  <c r="D13" i="3"/>
  <c r="F12" i="3"/>
  <c r="E12" i="3"/>
  <c r="D12" i="3"/>
  <c r="F11" i="3"/>
  <c r="E11" i="3"/>
  <c r="D11" i="3"/>
  <c r="F10" i="3"/>
  <c r="E10" i="3"/>
  <c r="D10" i="3"/>
  <c r="F9" i="3"/>
  <c r="E9" i="3"/>
  <c r="D9" i="3"/>
  <c r="F8" i="3"/>
  <c r="E8" i="3"/>
  <c r="D8" i="3"/>
  <c r="F7" i="3"/>
  <c r="E7" i="3"/>
  <c r="D7" i="3"/>
  <c r="F6" i="3"/>
  <c r="E6" i="3"/>
  <c r="D6" i="3"/>
  <c r="F5" i="3"/>
  <c r="E5" i="3"/>
  <c r="D5" i="3"/>
  <c r="F4" i="3"/>
  <c r="E4" i="3"/>
  <c r="D4" i="3"/>
  <c r="F3" i="3"/>
  <c r="E3" i="3"/>
  <c r="D3" i="3"/>
  <c r="F2" i="3"/>
  <c r="E2" i="3"/>
  <c r="D2" i="3"/>
  <c r="I2" i="2"/>
  <c r="G45" i="3" l="1"/>
  <c r="G16" i="3"/>
  <c r="G24" i="3"/>
  <c r="G46" i="3"/>
  <c r="G17" i="3"/>
  <c r="G41" i="3"/>
  <c r="G7" i="3"/>
  <c r="G39" i="3"/>
  <c r="G12" i="3"/>
  <c r="G28" i="3"/>
  <c r="G36" i="3"/>
  <c r="G44" i="3"/>
  <c r="G37" i="3"/>
  <c r="G40" i="3"/>
  <c r="G4" i="3"/>
  <c r="G6" i="3"/>
  <c r="G22" i="3"/>
  <c r="G35" i="3"/>
  <c r="G25" i="3"/>
  <c r="G30" i="3"/>
  <c r="G20" i="3"/>
  <c r="G9" i="3"/>
  <c r="G2" i="3"/>
  <c r="G10" i="3"/>
  <c r="G15" i="3"/>
  <c r="G18" i="3"/>
  <c r="G26" i="3"/>
  <c r="G31" i="3"/>
  <c r="G13" i="3"/>
  <c r="G48" i="3"/>
  <c r="G33" i="3"/>
  <c r="G38" i="3"/>
  <c r="H38" i="3" s="1"/>
  <c r="G43" i="3"/>
  <c r="G23" i="3"/>
  <c r="G49" i="3"/>
  <c r="G34" i="3"/>
  <c r="G5" i="3"/>
  <c r="G3" i="3"/>
  <c r="G8" i="3"/>
  <c r="G21" i="3"/>
  <c r="G11" i="3"/>
  <c r="G14" i="3"/>
  <c r="G19" i="3"/>
  <c r="G27" i="3"/>
  <c r="G29" i="3"/>
  <c r="G32" i="3"/>
  <c r="G42" i="3"/>
  <c r="H42" i="3" s="1"/>
  <c r="G47" i="3"/>
  <c r="H44" i="3" l="1"/>
  <c r="H45" i="3"/>
  <c r="H33" i="3"/>
  <c r="H43" i="3"/>
  <c r="H39" i="3"/>
  <c r="H40" i="3"/>
  <c r="H37" i="3"/>
  <c r="H34" i="3"/>
  <c r="H36" i="3"/>
  <c r="H35" i="3"/>
  <c r="H32" i="3"/>
  <c r="H31" i="3"/>
  <c r="H30" i="3"/>
  <c r="H27" i="3"/>
  <c r="H29" i="3"/>
  <c r="H28" i="3"/>
  <c r="H26" i="3"/>
  <c r="H25" i="3"/>
  <c r="H22" i="3"/>
  <c r="H21" i="3"/>
  <c r="H20" i="3"/>
  <c r="H19" i="3"/>
  <c r="H14" i="3"/>
  <c r="H23" i="3"/>
  <c r="H18" i="3"/>
  <c r="H17" i="3"/>
  <c r="H15" i="3"/>
  <c r="H8" i="3"/>
  <c r="H10" i="3"/>
  <c r="H13" i="3"/>
  <c r="H9" i="3"/>
  <c r="H6" i="3"/>
  <c r="H7" i="3"/>
  <c r="H47" i="3"/>
  <c r="H2" i="3"/>
  <c r="H41" i="3"/>
  <c r="H12" i="3"/>
  <c r="H4" i="3"/>
  <c r="H46" i="3"/>
  <c r="H5" i="3"/>
  <c r="H24" i="3"/>
  <c r="H49" i="3"/>
  <c r="H16" i="3"/>
  <c r="H11" i="3"/>
  <c r="H3" i="3"/>
  <c r="H48" i="3"/>
  <c r="B9" i="4" l="1"/>
  <c r="E9" i="4" s="1"/>
  <c r="M13" i="3"/>
  <c r="F14" i="5" s="1"/>
  <c r="K14" i="5" s="1"/>
  <c r="C8" i="6" s="1"/>
  <c r="B17" i="4"/>
  <c r="G17" i="4" s="1"/>
  <c r="B30" i="4"/>
  <c r="G30" i="4" s="1"/>
  <c r="K14" i="4"/>
  <c r="N14" i="4" s="1"/>
  <c r="K31" i="4"/>
  <c r="N31" i="4" s="1"/>
  <c r="L6" i="3"/>
  <c r="C5" i="5" s="1"/>
  <c r="M5" i="3"/>
  <c r="C19" i="5" s="1"/>
  <c r="K19" i="5" s="1"/>
  <c r="F10" i="6" s="1"/>
  <c r="L7" i="3"/>
  <c r="C6" i="5" s="1"/>
  <c r="L13" i="3"/>
  <c r="C11" i="5" s="1"/>
  <c r="K11" i="5" s="1"/>
  <c r="F7" i="6" s="1"/>
  <c r="K7" i="6" s="1"/>
  <c r="F6" i="7" s="1"/>
  <c r="M7" i="3"/>
  <c r="F7" i="5" s="1"/>
  <c r="T24" i="4"/>
  <c r="X24" i="4" s="1"/>
  <c r="M3" i="3"/>
  <c r="F4" i="5" s="1"/>
  <c r="K4" i="5" s="1"/>
  <c r="C5" i="6" s="1"/>
  <c r="K5" i="6" s="1"/>
  <c r="F4" i="7" s="1"/>
  <c r="K22" i="4"/>
  <c r="M22" i="4" s="1"/>
  <c r="K24" i="4"/>
  <c r="L24" i="4" s="1"/>
  <c r="M6" i="3"/>
  <c r="C9" i="5" s="1"/>
  <c r="K9" i="5" s="1"/>
  <c r="F6" i="6" s="1"/>
  <c r="T25" i="4"/>
  <c r="X25" i="4" s="1"/>
  <c r="K33" i="4"/>
  <c r="N33" i="4" s="1"/>
  <c r="T14" i="4"/>
  <c r="X14" i="4" s="1"/>
  <c r="T22" i="4"/>
  <c r="Y22" i="4" s="1"/>
  <c r="K9" i="4"/>
  <c r="L9" i="4" s="1"/>
  <c r="T15" i="4"/>
  <c r="X15" i="4" s="1"/>
  <c r="L3" i="3"/>
  <c r="C16" i="5" s="1"/>
  <c r="K16" i="5" s="1"/>
  <c r="C11" i="6" s="1"/>
  <c r="K23" i="4"/>
  <c r="N23" i="4" s="1"/>
  <c r="K7" i="4"/>
  <c r="N7" i="4" s="1"/>
  <c r="T6" i="4"/>
  <c r="V6" i="4" s="1"/>
  <c r="M9" i="3"/>
  <c r="F17" i="5" s="1"/>
  <c r="T9" i="4"/>
  <c r="W9" i="4" s="1"/>
  <c r="L12" i="3"/>
  <c r="C18" i="5" s="1"/>
  <c r="K18" i="5" s="1"/>
  <c r="F11" i="6" s="1"/>
  <c r="K11" i="6" s="1"/>
  <c r="F7" i="7" s="1"/>
  <c r="K7" i="7" s="1"/>
  <c r="F5" i="8" s="1"/>
  <c r="L5" i="3"/>
  <c r="C12" i="5" s="1"/>
  <c r="K12" i="5" s="1"/>
  <c r="C9" i="6" s="1"/>
  <c r="L8" i="3"/>
  <c r="C13" i="5" s="1"/>
  <c r="K13" i="5" s="1"/>
  <c r="F9" i="6" s="1"/>
  <c r="K9" i="6" s="1"/>
  <c r="F5" i="7" s="1"/>
  <c r="K17" i="4"/>
  <c r="N17" i="4" s="1"/>
  <c r="L11" i="3"/>
  <c r="C17" i="5" s="1"/>
  <c r="K17" i="5" s="1"/>
  <c r="C10" i="6" s="1"/>
  <c r="K10" i="6" s="1"/>
  <c r="C7" i="7" s="1"/>
  <c r="T30" i="4"/>
  <c r="W30" i="4" s="1"/>
  <c r="T7" i="4"/>
  <c r="Y7" i="4" s="1"/>
  <c r="L10" i="3"/>
  <c r="C8" i="5" s="1"/>
  <c r="K8" i="4"/>
  <c r="P8" i="4" s="1"/>
  <c r="M8" i="3"/>
  <c r="F19" i="5" s="1"/>
  <c r="M4" i="3"/>
  <c r="F6" i="5" s="1"/>
  <c r="K6" i="5" s="1"/>
  <c r="F5" i="6" s="1"/>
  <c r="B31" i="4"/>
  <c r="F31" i="4" s="1"/>
  <c r="K25" i="4"/>
  <c r="L25" i="4" s="1"/>
  <c r="T23" i="4"/>
  <c r="U23" i="4" s="1"/>
  <c r="B24" i="4"/>
  <c r="F24" i="4" s="1"/>
  <c r="B23" i="4"/>
  <c r="C23" i="4" s="1"/>
  <c r="T17" i="4"/>
  <c r="X17" i="4" s="1"/>
  <c r="K15" i="4"/>
  <c r="O15" i="4" s="1"/>
  <c r="K30" i="4"/>
  <c r="P30" i="4" s="1"/>
  <c r="B16" i="4"/>
  <c r="C16" i="4" s="1"/>
  <c r="K32" i="4"/>
  <c r="M32" i="4" s="1"/>
  <c r="T33" i="4"/>
  <c r="Y33" i="4" s="1"/>
  <c r="M10" i="3"/>
  <c r="F9" i="5" s="1"/>
  <c r="B14" i="4"/>
  <c r="D14" i="4" s="1"/>
  <c r="B22" i="4"/>
  <c r="C22" i="4" s="1"/>
  <c r="T31" i="4"/>
  <c r="U31" i="4" s="1"/>
  <c r="L4" i="3"/>
  <c r="C7" i="5" s="1"/>
  <c r="K7" i="5" s="1"/>
  <c r="C6" i="6" s="1"/>
  <c r="K6" i="6" s="1"/>
  <c r="C6" i="7" s="1"/>
  <c r="K6" i="7" s="1"/>
  <c r="C5" i="8" s="1"/>
  <c r="K5" i="8" s="1"/>
  <c r="F5" i="9" s="1"/>
  <c r="M12" i="3"/>
  <c r="C14" i="5" s="1"/>
  <c r="T32" i="4"/>
  <c r="Y32" i="4" s="1"/>
  <c r="L2" i="3"/>
  <c r="C10" i="5" s="1"/>
  <c r="K10" i="5" s="1"/>
  <c r="C7" i="6" s="1"/>
  <c r="B7" i="4"/>
  <c r="B8" i="4"/>
  <c r="B6" i="4"/>
  <c r="M2" i="3"/>
  <c r="C4" i="5" s="1"/>
  <c r="T16" i="4"/>
  <c r="U16" i="4" s="1"/>
  <c r="K6" i="4"/>
  <c r="M6" i="4" s="1"/>
  <c r="B32" i="4"/>
  <c r="E32" i="4" s="1"/>
  <c r="B33" i="4"/>
  <c r="G33" i="4" s="1"/>
  <c r="T8" i="4"/>
  <c r="W8" i="4" s="1"/>
  <c r="L9" i="3"/>
  <c r="C15" i="5" s="1"/>
  <c r="K15" i="5" s="1"/>
  <c r="F8" i="6" s="1"/>
  <c r="K8" i="6" s="1"/>
  <c r="C5" i="7" s="1"/>
  <c r="K5" i="7" s="1"/>
  <c r="F4" i="8" s="1"/>
  <c r="K4" i="8" s="1"/>
  <c r="C4" i="9" s="1"/>
  <c r="K16" i="4"/>
  <c r="P16" i="4" s="1"/>
  <c r="B15" i="4"/>
  <c r="E15" i="4" s="1"/>
  <c r="B25" i="4"/>
  <c r="G25" i="4" s="1"/>
  <c r="M11" i="3"/>
  <c r="F15" i="5" s="1"/>
  <c r="F17" i="4" l="1"/>
  <c r="L14" i="4"/>
  <c r="O14" i="4"/>
  <c r="P14" i="4"/>
  <c r="O9" i="4"/>
  <c r="M9" i="4"/>
  <c r="V17" i="4"/>
  <c r="M14" i="4"/>
  <c r="Y17" i="4"/>
  <c r="N24" i="4"/>
  <c r="W17" i="4"/>
  <c r="D22" i="4"/>
  <c r="L15" i="4"/>
  <c r="O16" i="4"/>
  <c r="L31" i="4"/>
  <c r="D9" i="4"/>
  <c r="N9" i="4"/>
  <c r="P31" i="4"/>
  <c r="U17" i="4"/>
  <c r="F9" i="4"/>
  <c r="E22" i="4"/>
  <c r="C9" i="4"/>
  <c r="Y25" i="4"/>
  <c r="V31" i="4"/>
  <c r="F22" i="4"/>
  <c r="G9" i="4"/>
  <c r="C17" i="4"/>
  <c r="D17" i="4"/>
  <c r="E17" i="4"/>
  <c r="Y9" i="4"/>
  <c r="C30" i="4"/>
  <c r="G23" i="4"/>
  <c r="Y24" i="4"/>
  <c r="U22" i="4"/>
  <c r="X22" i="4"/>
  <c r="E23" i="4"/>
  <c r="V9" i="4"/>
  <c r="V22" i="4"/>
  <c r="V24" i="4"/>
  <c r="D30" i="4"/>
  <c r="U24" i="4"/>
  <c r="D23" i="4"/>
  <c r="U9" i="4"/>
  <c r="E30" i="4"/>
  <c r="F23" i="4"/>
  <c r="X9" i="4"/>
  <c r="W22" i="4"/>
  <c r="W24" i="4"/>
  <c r="F30" i="4"/>
  <c r="L16" i="4"/>
  <c r="G14" i="4"/>
  <c r="C5" i="9"/>
  <c r="K5" i="9" s="1"/>
  <c r="A8" i="9" s="1"/>
  <c r="C14" i="4"/>
  <c r="E14" i="4"/>
  <c r="F14" i="4"/>
  <c r="O17" i="4"/>
  <c r="N22" i="4"/>
  <c r="M24" i="4"/>
  <c r="O7" i="4"/>
  <c r="V32" i="4"/>
  <c r="U32" i="4"/>
  <c r="L8" i="4"/>
  <c r="P7" i="4"/>
  <c r="V16" i="4"/>
  <c r="M8" i="4"/>
  <c r="N32" i="4"/>
  <c r="W16" i="4"/>
  <c r="N8" i="4"/>
  <c r="D16" i="4"/>
  <c r="G22" i="4"/>
  <c r="O32" i="4"/>
  <c r="O24" i="4"/>
  <c r="O22" i="4"/>
  <c r="O8" i="4"/>
  <c r="N15" i="4"/>
  <c r="P9" i="4"/>
  <c r="P15" i="4"/>
  <c r="P24" i="4"/>
  <c r="O31" i="4"/>
  <c r="M16" i="4"/>
  <c r="F15" i="4"/>
  <c r="P22" i="4"/>
  <c r="G15" i="4"/>
  <c r="P33" i="4"/>
  <c r="O23" i="4"/>
  <c r="E16" i="4"/>
  <c r="P17" i="4"/>
  <c r="G31" i="4"/>
  <c r="P23" i="4"/>
  <c r="L30" i="4"/>
  <c r="W6" i="4"/>
  <c r="E25" i="4"/>
  <c r="X8" i="4"/>
  <c r="M30" i="4"/>
  <c r="C15" i="4"/>
  <c r="L22" i="4"/>
  <c r="W32" i="4"/>
  <c r="Y31" i="4"/>
  <c r="N30" i="4"/>
  <c r="D15" i="4"/>
  <c r="O25" i="4"/>
  <c r="U30" i="4"/>
  <c r="Y8" i="4"/>
  <c r="X32" i="4"/>
  <c r="V30" i="4"/>
  <c r="W23" i="4"/>
  <c r="P25" i="4"/>
  <c r="G32" i="4"/>
  <c r="E33" i="4"/>
  <c r="U14" i="4"/>
  <c r="L23" i="4"/>
  <c r="W25" i="4"/>
  <c r="P32" i="4"/>
  <c r="Y30" i="4"/>
  <c r="X16" i="4"/>
  <c r="F16" i="4"/>
  <c r="O30" i="4"/>
  <c r="G24" i="4"/>
  <c r="C32" i="4"/>
  <c r="L17" i="4"/>
  <c r="L7" i="4"/>
  <c r="M25" i="4"/>
  <c r="D31" i="4"/>
  <c r="L32" i="4"/>
  <c r="G16" i="4"/>
  <c r="X6" i="4"/>
  <c r="D32" i="4"/>
  <c r="M17" i="4"/>
  <c r="M7" i="4"/>
  <c r="N25" i="4"/>
  <c r="E31" i="4"/>
  <c r="L33" i="4"/>
  <c r="M31" i="4"/>
  <c r="V23" i="4"/>
  <c r="U25" i="4"/>
  <c r="F32" i="4"/>
  <c r="W7" i="4"/>
  <c r="V25" i="4"/>
  <c r="W33" i="4"/>
  <c r="X30" i="4"/>
  <c r="X23" i="4"/>
  <c r="C31" i="4"/>
  <c r="Y14" i="4"/>
  <c r="M23" i="4"/>
  <c r="X31" i="4"/>
  <c r="M15" i="4"/>
  <c r="Y6" i="4"/>
  <c r="O33" i="4"/>
  <c r="V14" i="4"/>
  <c r="F4" i="9"/>
  <c r="K4" i="9" s="1"/>
  <c r="Y15" i="4"/>
  <c r="U8" i="4"/>
  <c r="W14" i="4"/>
  <c r="U7" i="4"/>
  <c r="U33" i="4"/>
  <c r="Y16" i="4"/>
  <c r="U6" i="4"/>
  <c r="U15" i="4"/>
  <c r="C25" i="4"/>
  <c r="C33" i="4"/>
  <c r="Y23" i="4"/>
  <c r="V7" i="4"/>
  <c r="W31" i="4"/>
  <c r="V33" i="4"/>
  <c r="C24" i="4"/>
  <c r="V15" i="4"/>
  <c r="D25" i="4"/>
  <c r="N16" i="4"/>
  <c r="D33" i="4"/>
  <c r="W15" i="4"/>
  <c r="D24" i="4"/>
  <c r="X7" i="4"/>
  <c r="X33" i="4"/>
  <c r="E24" i="4"/>
  <c r="V8" i="4"/>
  <c r="F33" i="4"/>
  <c r="M33" i="4"/>
  <c r="P6" i="4"/>
  <c r="N6" i="4"/>
  <c r="O6" i="4"/>
  <c r="L6" i="4"/>
  <c r="F25" i="4"/>
  <c r="E6" i="4"/>
  <c r="D6" i="4"/>
  <c r="C6" i="4"/>
  <c r="G6" i="4"/>
  <c r="F6" i="4"/>
  <c r="E8" i="4"/>
  <c r="D8" i="4"/>
  <c r="C8" i="4"/>
  <c r="G8" i="4"/>
  <c r="F8" i="4"/>
  <c r="F7" i="4"/>
  <c r="E7" i="4"/>
  <c r="D7" i="4"/>
  <c r="G7" i="4"/>
  <c r="C7" i="4"/>
</calcChain>
</file>

<file path=xl/sharedStrings.xml><?xml version="1.0" encoding="utf-8"?>
<sst xmlns="http://schemas.openxmlformats.org/spreadsheetml/2006/main" count="1769" uniqueCount="341">
  <si>
    <t>GRAN FINAL Y 3ER LUGAR</t>
  </si>
  <si>
    <t>Las llaves finales se alimentan automáticamente desde Semifinales.</t>
  </si>
  <si>
    <t>ID</t>
  </si>
  <si>
    <t>Llave</t>
  </si>
  <si>
    <t>Equipo local</t>
  </si>
  <si>
    <t>Goles local</t>
  </si>
  <si>
    <t>Goles visitante</t>
  </si>
  <si>
    <t>Equipo visitante</t>
  </si>
  <si>
    <t>Fecha</t>
  </si>
  <si>
    <t>Hora</t>
  </si>
  <si>
    <t>Estadio</t>
  </si>
  <si>
    <t>Ciudad</t>
  </si>
  <si>
    <t>Ganador auto</t>
  </si>
  <si>
    <t>Fase</t>
  </si>
  <si>
    <t>3RO-01</t>
  </si>
  <si>
    <t>3er lugar</t>
  </si>
  <si>
    <t>16:00</t>
  </si>
  <si>
    <t>Miami Stadium</t>
  </si>
  <si>
    <t>Miami</t>
  </si>
  <si>
    <t>3er Lugar</t>
  </si>
  <si>
    <t>FINAL</t>
  </si>
  <si>
    <t>Gran Final - MetLife Stadium, Nueva York</t>
  </si>
  <si>
    <t>20:00</t>
  </si>
  <si>
    <t>MetLife Stadium</t>
  </si>
  <si>
    <t>Nueva York / Nueva Jersey</t>
  </si>
  <si>
    <t>Final</t>
  </si>
  <si>
    <t>CAMPEÓN PROYECTADO</t>
  </si>
  <si>
    <t>QUINIELA 2026 · MUNDIAL 2026 · QUINIELA PRO</t>
  </si>
  <si>
    <t>Plantilla integral para participantes · fases completas y compatible con el flujo de la app</t>
  </si>
  <si>
    <t>1. Nombre del participante</t>
  </si>
  <si>
    <t>En la hoja 1_GRUPOS captura tu nombre en la celda C2. Esa celda quedó resaltada y desbloqueada para que el jugador vaya directo a ella.</t>
  </si>
  <si>
    <t>2. Fase de grupos</t>
  </si>
  <si>
    <t>Llena únicamente las celdas blancas de goles local y goles visitante. Los clasificados se calculan solos con desempate automático por PTS, DG y GF.</t>
  </si>
  <si>
    <t>Los nombres de los equipos incluyen su bandera para facilitar la captura visual.</t>
  </si>
  <si>
    <t>Las hojas 2_16AVOS, 3_OCTAVOS, 4_CUARTOS, 5_SEMIS y 6_FINAL se arman automáticamente según tus resultados. Si un marcador de eliminación directa queda empatado, la fila se marcará para revisión.</t>
  </si>
  <si>
    <t>4. Reglas de captura</t>
  </si>
  <si>
    <t>Usa solo números enteros de 0 a 9. Si dejas un partido en blanco, no contará para clasificados ni siguientes fases.</t>
  </si>
  <si>
    <t>5. Modelo actual</t>
  </si>
  <si>
    <t>Este archivo sigue el modelo eliminatorio actual de la app y ahora protege celdas de fórmula para evitar cambios accidentales.</t>
  </si>
  <si>
    <t>6. Entrega</t>
  </si>
  <si>
    <t>Guarda el archivo con tu nombre y compártelo de vuelta al administrador. Si alguna vez necesitas editar el diseño o desbloquear hojas, la clave de protección es 2026.</t>
  </si>
  <si>
    <t>Guía visual: blanco = captura del jugador · gris/verde = cálculo automático · azul oscuro = encabezados</t>
  </si>
  <si>
    <t>QUINIELA 2026 · CAPTURA DE PRONÓSTICOS</t>
  </si>
  <si>
    <t>Participante:</t>
  </si>
  <si>
    <t>Carlos Ramírez</t>
  </si>
  <si>
    <t>Partidos</t>
  </si>
  <si>
    <t>Instrucción</t>
  </si>
  <si>
    <t>Llena solo D y E · Desempate: PTS &gt; DG &gt; GF</t>
  </si>
  <si>
    <t>Fase de grupos · calendario ordenado por día · compatible con la importación de la app</t>
  </si>
  <si>
    <t>Grupo</t>
  </si>
  <si>
    <t>Local</t>
  </si>
  <si>
    <t>Goles Local</t>
  </si>
  <si>
    <t>Goles Visitante</t>
  </si>
  <si>
    <t>Visitante</t>
  </si>
  <si>
    <t>► Jueves 11 de junio</t>
  </si>
  <si>
    <t>A01</t>
  </si>
  <si>
    <t>A</t>
  </si>
  <si>
    <t>🇲🇽 México</t>
  </si>
  <si>
    <t>🇿🇦 Sudáfrica</t>
  </si>
  <si>
    <t>Grupos</t>
  </si>
  <si>
    <t>13:00</t>
  </si>
  <si>
    <t>Estadio Azteca</t>
  </si>
  <si>
    <t>Ciudad de México</t>
  </si>
  <si>
    <t>► Viernes 12 de junio</t>
  </si>
  <si>
    <t>A02</t>
  </si>
  <si>
    <t>🇰🇷 Corea del Sur</t>
  </si>
  <si>
    <t>BC Place</t>
  </si>
  <si>
    <t>Vancouver</t>
  </si>
  <si>
    <t>► Sábado 13 de junio</t>
  </si>
  <si>
    <t>A03</t>
  </si>
  <si>
    <t>🏳️ Rep. Checa/Dinamarca*</t>
  </si>
  <si>
    <t>19:00</t>
  </si>
  <si>
    <t>SoFi Stadium</t>
  </si>
  <si>
    <t>Los Ángeles</t>
  </si>
  <si>
    <t>► Domingo 14 de junio</t>
  </si>
  <si>
    <t>A12</t>
  </si>
  <si>
    <t>21:00</t>
  </si>
  <si>
    <t>Akron Stadium</t>
  </si>
  <si>
    <t>Guadalajara</t>
  </si>
  <si>
    <t>► Lunes 15 de junio</t>
  </si>
  <si>
    <t>A13</t>
  </si>
  <si>
    <t>AT&amp;T Stadium</t>
  </si>
  <si>
    <t>Dallas</t>
  </si>
  <si>
    <t>► Martes 16 de junio</t>
  </si>
  <si>
    <t>A23</t>
  </si>
  <si>
    <t>Estadio BBVA</t>
  </si>
  <si>
    <t>Monterrey</t>
  </si>
  <si>
    <t>B01</t>
  </si>
  <si>
    <t>B</t>
  </si>
  <si>
    <t>🇨🇦 Canadá</t>
  </si>
  <si>
    <t>🏳️ Bosnia/Italia*</t>
  </si>
  <si>
    <t>B02</t>
  </si>
  <si>
    <t>🇶🇦 Qatar</t>
  </si>
  <si>
    <t>BMO Field</t>
  </si>
  <si>
    <t>Toronto</t>
  </si>
  <si>
    <t>B03</t>
  </si>
  <si>
    <t>🇨🇭 Suiza</t>
  </si>
  <si>
    <t>B12</t>
  </si>
  <si>
    <t>B13</t>
  </si>
  <si>
    <t>B23</t>
  </si>
  <si>
    <t>C01</t>
  </si>
  <si>
    <t>C</t>
  </si>
  <si>
    <t>🇧🇷 Brasil</t>
  </si>
  <si>
    <t>🇲🇦 Marruecos</t>
  </si>
  <si>
    <t>C02</t>
  </si>
  <si>
    <t>🇭🇹 Haití</t>
  </si>
  <si>
    <t>C03</t>
  </si>
  <si>
    <t>🏴 Escocia</t>
  </si>
  <si>
    <t>C12</t>
  </si>
  <si>
    <t>C13</t>
  </si>
  <si>
    <t>C23</t>
  </si>
  <si>
    <t>D01</t>
  </si>
  <si>
    <t>D</t>
  </si>
  <si>
    <t>🇺🇸 Estados Unidos</t>
  </si>
  <si>
    <t>🇵🇾 Paraguay</t>
  </si>
  <si>
    <t>D02</t>
  </si>
  <si>
    <t>🇦🇺 Australia</t>
  </si>
  <si>
    <t>D03</t>
  </si>
  <si>
    <t>🏳️ Kosovo/Turquía*</t>
  </si>
  <si>
    <t>D12</t>
  </si>
  <si>
    <t>D13</t>
  </si>
  <si>
    <t>D23</t>
  </si>
  <si>
    <t>E01</t>
  </si>
  <si>
    <t>E</t>
  </si>
  <si>
    <t>🇩🇪 Alemania</t>
  </si>
  <si>
    <t>🇨🇼 Curazao</t>
  </si>
  <si>
    <t>E02</t>
  </si>
  <si>
    <t>🇨🇮 Costa de Marfil</t>
  </si>
  <si>
    <t>E03</t>
  </si>
  <si>
    <t>🇪🇨 Ecuador</t>
  </si>
  <si>
    <t>E12</t>
  </si>
  <si>
    <t>E13</t>
  </si>
  <si>
    <t>E23</t>
  </si>
  <si>
    <t>F01</t>
  </si>
  <si>
    <t>F</t>
  </si>
  <si>
    <t>🇳🇱 Países Bajos</t>
  </si>
  <si>
    <t>🇯🇵 Japón</t>
  </si>
  <si>
    <t>F02</t>
  </si>
  <si>
    <t>🏳️ Suecia/Polonia*</t>
  </si>
  <si>
    <t>F03</t>
  </si>
  <si>
    <t>🇹🇳 Túnez</t>
  </si>
  <si>
    <t>F12</t>
  </si>
  <si>
    <t>F13</t>
  </si>
  <si>
    <t>F23</t>
  </si>
  <si>
    <t>G01</t>
  </si>
  <si>
    <t>G</t>
  </si>
  <si>
    <t>🇧🇪 Bélgica</t>
  </si>
  <si>
    <t>🇪🇬 Egipto</t>
  </si>
  <si>
    <t>G02</t>
  </si>
  <si>
    <t>🇮🇷 Irán</t>
  </si>
  <si>
    <t>G03</t>
  </si>
  <si>
    <t>🇳🇿 Nueva Zelanda</t>
  </si>
  <si>
    <t>G12</t>
  </si>
  <si>
    <t>G13</t>
  </si>
  <si>
    <t>G23</t>
  </si>
  <si>
    <t>H01</t>
  </si>
  <si>
    <t>H</t>
  </si>
  <si>
    <t>🇪🇸 España</t>
  </si>
  <si>
    <t>🇨🇻 Cabo Verde</t>
  </si>
  <si>
    <t>H02</t>
  </si>
  <si>
    <t>🇸🇦 Arabia Saudita</t>
  </si>
  <si>
    <t>H03</t>
  </si>
  <si>
    <t>🇺🇾 Uruguay</t>
  </si>
  <si>
    <t>H12</t>
  </si>
  <si>
    <t>H13</t>
  </si>
  <si>
    <t>H23</t>
  </si>
  <si>
    <t>I01</t>
  </si>
  <si>
    <t>I</t>
  </si>
  <si>
    <t>🇫🇷 Francia</t>
  </si>
  <si>
    <t>🇸🇳 Senegal</t>
  </si>
  <si>
    <t>I02</t>
  </si>
  <si>
    <t>🏳️ Bolivia/Irak*</t>
  </si>
  <si>
    <t>I03</t>
  </si>
  <si>
    <t>🇳🇴 Noruega</t>
  </si>
  <si>
    <t>I12</t>
  </si>
  <si>
    <t>I13</t>
  </si>
  <si>
    <t>I23</t>
  </si>
  <si>
    <t>J01</t>
  </si>
  <si>
    <t>J</t>
  </si>
  <si>
    <t>🇦🇷 Argentina</t>
  </si>
  <si>
    <t>🇩🇿 Argelia</t>
  </si>
  <si>
    <t>J02</t>
  </si>
  <si>
    <t>🇦🇹 Austria</t>
  </si>
  <si>
    <t>J03</t>
  </si>
  <si>
    <t>🇯🇴 Jordania</t>
  </si>
  <si>
    <t>J12</t>
  </si>
  <si>
    <t>J13</t>
  </si>
  <si>
    <t>J23</t>
  </si>
  <si>
    <t>K01</t>
  </si>
  <si>
    <t>K</t>
  </si>
  <si>
    <t>🇵🇹 Portugal</t>
  </si>
  <si>
    <t>🏳️ Jamaica/RD Congo*</t>
  </si>
  <si>
    <t>K02</t>
  </si>
  <si>
    <t>🇺🇿 Uzbekistán</t>
  </si>
  <si>
    <t>K03</t>
  </si>
  <si>
    <t>🇨🇴 Colombia</t>
  </si>
  <si>
    <t>K12</t>
  </si>
  <si>
    <t>K13</t>
  </si>
  <si>
    <t>K23</t>
  </si>
  <si>
    <t>L01</t>
  </si>
  <si>
    <t>L</t>
  </si>
  <si>
    <t>🏴 Inglaterra</t>
  </si>
  <si>
    <t>🇭🇷 Croacia</t>
  </si>
  <si>
    <t>L02</t>
  </si>
  <si>
    <t>🇬🇭 Ghana</t>
  </si>
  <si>
    <t>L03</t>
  </si>
  <si>
    <t>🇵🇦 Panamá</t>
  </si>
  <si>
    <t>L12</t>
  </si>
  <si>
    <t>L13</t>
  </si>
  <si>
    <t>L23</t>
  </si>
  <si>
    <t>✅ Llena grupos y guarda. Las fases 2_16AVOS, 3_CUARTOS, 4_SEMIS y 5_FINAL se actualizan automáticamente.</t>
  </si>
  <si>
    <t>GRP</t>
  </si>
  <si>
    <t>TEAM</t>
  </si>
  <si>
    <t>SEED</t>
  </si>
  <si>
    <t>PTS</t>
  </si>
  <si>
    <t>GF</t>
  </si>
  <si>
    <t>GA</t>
  </si>
  <si>
    <t>GD</t>
  </si>
  <si>
    <t>RANK</t>
  </si>
  <si>
    <t>GROUP</t>
  </si>
  <si>
    <t>1ST</t>
  </si>
  <si>
    <t>2ND</t>
  </si>
  <si>
    <t>TABLA DE GRUPOS · CLASIFICACIÓN AUTOMÁTICA</t>
  </si>
  <si>
    <t>Orden de desempate: puntos, diferencia de goles y goles a favor. Los dos primeros lugares de cada grupo clasifican automáticamente.</t>
  </si>
  <si>
    <t>CLASIFICA</t>
  </si>
  <si>
    <t>FUERA</t>
  </si>
  <si>
    <t>GRUPO A</t>
  </si>
  <si>
    <t>GRUPO B</t>
  </si>
  <si>
    <t>GRUPO C</t>
  </si>
  <si>
    <t>Pos</t>
  </si>
  <si>
    <t>Equipo</t>
  </si>
  <si>
    <t>PJ</t>
  </si>
  <si>
    <t>GC</t>
  </si>
  <si>
    <t>DG</t>
  </si>
  <si>
    <t>Pts</t>
  </si>
  <si>
    <t>Estado</t>
  </si>
  <si>
    <t>GRUPO D</t>
  </si>
  <si>
    <t>GRUPO E</t>
  </si>
  <si>
    <t>GRUPO F</t>
  </si>
  <si>
    <t>GRUPO G</t>
  </si>
  <si>
    <t>GRUPO H</t>
  </si>
  <si>
    <t>GRUPO I</t>
  </si>
  <si>
    <t>GRUPO J</t>
  </si>
  <si>
    <t>GRUPO K</t>
  </si>
  <si>
    <t>GRUPO L</t>
  </si>
  <si>
    <t>16AVOS DE FINAL</t>
  </si>
  <si>
    <t>Los clasificados se auto-completan desde tus resultados proyectados de la fase de grupos.</t>
  </si>
  <si>
    <t>R16-01</t>
  </si>
  <si>
    <t>2°A vs 2°B</t>
  </si>
  <si>
    <t>16avos</t>
  </si>
  <si>
    <t>R16-02</t>
  </si>
  <si>
    <t>1°E vs 3°A</t>
  </si>
  <si>
    <t>16:30</t>
  </si>
  <si>
    <t>Boston Stadium</t>
  </si>
  <si>
    <t>Boston</t>
  </si>
  <si>
    <t>R16-03</t>
  </si>
  <si>
    <t>1°F vs 2°C</t>
  </si>
  <si>
    <t>R16-04</t>
  </si>
  <si>
    <t>1°C vs 2°F</t>
  </si>
  <si>
    <t>Houston Stadium</t>
  </si>
  <si>
    <t>Houston</t>
  </si>
  <si>
    <t>R16-05</t>
  </si>
  <si>
    <t>1°I vs 3°D</t>
  </si>
  <si>
    <t>Nueva York/Nueva Jersey</t>
  </si>
  <si>
    <t>R16-06</t>
  </si>
  <si>
    <t>2°E vs 2°I</t>
  </si>
  <si>
    <t>R16-07</t>
  </si>
  <si>
    <t>1°A vs 3°F</t>
  </si>
  <si>
    <t>R16-08</t>
  </si>
  <si>
    <t>1°L vs 3°E</t>
  </si>
  <si>
    <t>Atlanta Stadium</t>
  </si>
  <si>
    <t>Atlanta</t>
  </si>
  <si>
    <t>R16-09</t>
  </si>
  <si>
    <t>1°D vs 3°B</t>
  </si>
  <si>
    <t>Bay Area Stadium</t>
  </si>
  <si>
    <t>San Francisco</t>
  </si>
  <si>
    <t>R16-10</t>
  </si>
  <si>
    <t>1°G vs 3°H</t>
  </si>
  <si>
    <t>Lumen Field</t>
  </si>
  <si>
    <t>Seattle</t>
  </si>
  <si>
    <t>R16-11</t>
  </si>
  <si>
    <t>2°K vs 2°L</t>
  </si>
  <si>
    <t>R16-12</t>
  </si>
  <si>
    <t>1°H vs 2°J</t>
  </si>
  <si>
    <t>R16-13</t>
  </si>
  <si>
    <t>1°B vs 3°G</t>
  </si>
  <si>
    <t>R16-14</t>
  </si>
  <si>
    <t>1°J vs 2°H</t>
  </si>
  <si>
    <t>R16-15</t>
  </si>
  <si>
    <t>1°K vs 3°J</t>
  </si>
  <si>
    <t>Kansas City Stadium</t>
  </si>
  <si>
    <t>Kansas City</t>
  </si>
  <si>
    <t>R16-16</t>
  </si>
  <si>
    <t>2°D vs 2°G</t>
  </si>
  <si>
    <t>OCTAVOS DE FINAL</t>
  </si>
  <si>
    <t>Los ganadores de 16avos se acomodan automáticamente en esta ronda.</t>
  </si>
  <si>
    <t>OF-01</t>
  </si>
  <si>
    <t>G(R16-02) vs G(R16-05)</t>
  </si>
  <si>
    <t>12:00</t>
  </si>
  <si>
    <t>Philadelphia Stadium</t>
  </si>
  <si>
    <t>Filadelfia</t>
  </si>
  <si>
    <t>Octavos</t>
  </si>
  <si>
    <t>OF-02</t>
  </si>
  <si>
    <t>G(R16-01) vs G(R16-03)</t>
  </si>
  <si>
    <t>OF-03</t>
  </si>
  <si>
    <t>G(R16-04) vs G(R16-06)</t>
  </si>
  <si>
    <t>15:00</t>
  </si>
  <si>
    <t>OF-04</t>
  </si>
  <si>
    <t>G(R16-07) vs G(R16-08)</t>
  </si>
  <si>
    <t>OF-05</t>
  </si>
  <si>
    <t>G(R16-11) vs G(R16-12)</t>
  </si>
  <si>
    <t>14:00</t>
  </si>
  <si>
    <t>OF-06</t>
  </si>
  <si>
    <t>G(R16-09) vs G(R16-10)</t>
  </si>
  <si>
    <t>OF-07</t>
  </si>
  <si>
    <t>G(R16-14) vs G(R16-16)</t>
  </si>
  <si>
    <t>11:00</t>
  </si>
  <si>
    <t>State Farm Stadium</t>
  </si>
  <si>
    <t>OF-08</t>
  </si>
  <si>
    <t>G(R16-13) vs G(R16-15)</t>
  </si>
  <si>
    <t>CUARTOS DE FINAL</t>
  </si>
  <si>
    <t>QF-01</t>
  </si>
  <si>
    <t>G(OF-01) vs G(OF-02)</t>
  </si>
  <si>
    <t>18:00</t>
  </si>
  <si>
    <t>Cuartos</t>
  </si>
  <si>
    <t>QF-02</t>
  </si>
  <si>
    <t>G(OF-05) vs G(OF-06)</t>
  </si>
  <si>
    <t>22:00</t>
  </si>
  <si>
    <t>QF-03</t>
  </si>
  <si>
    <t>G(OF-03) vs G(OF-04)</t>
  </si>
  <si>
    <t>QF-04</t>
  </si>
  <si>
    <t>G(OF-07) vs G(OF-08)</t>
  </si>
  <si>
    <t>SEMIFINALES</t>
  </si>
  <si>
    <t>Los ganadores de Cuartos se colocan automáticamente; captura los marcadores para definir cada llave.</t>
  </si>
  <si>
    <t>SF-01</t>
  </si>
  <si>
    <t>G(QF-01) vs G(QF-02)</t>
  </si>
  <si>
    <t>Semis</t>
  </si>
  <si>
    <t>SF-02</t>
  </si>
  <si>
    <t>G(QF-03) vs G(QF-04)</t>
  </si>
  <si>
    <t>Fuente</t>
  </si>
  <si>
    <t>Calendario base alineado con la app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</si>
</sst>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yyyy\-mm\-dd"/>
    <numFmt numFmtId="166" formatCode="dd/mm/yyyy"/>
  </numFmts>
  <fonts count="29" x14ac:knownFonts="1">
    <font>
      <sz val="11"/>
      <color theme="1"/>
      <name val="Calibri"/>
      <family val="2"/>
      <charset val="1"/>
    </font>
    <font>
      <b/>
      <sz val="14"/>
      <color rgb="FFFFFFFF"/>
      <name val="Cambria"/>
      <family val="1"/>
    </font>
    <font>
      <i/>
      <sz val="10"/>
      <color rgb="FF4A5A6A"/>
      <name val="Cambria"/>
      <family val="1"/>
    </font>
    <font>
      <b/>
      <sz val="11"/>
      <color rgb="FFFFFFFF"/>
      <name val="Cambria"/>
      <family val="1"/>
    </font>
    <font>
      <sz val="10"/>
      <color rgb="FF142235"/>
      <name val="Cambria"/>
      <family val="1"/>
    </font>
    <font>
      <b/>
      <i/>
      <sz val="10"/>
      <color rgb="FF1F4E79"/>
      <name val="Cambria"/>
      <family val="1"/>
    </font>
    <font>
      <b/>
      <sz val="10"/>
      <color rgb="FFFFFFFF"/>
      <name val="Cambria"/>
      <family val="1"/>
    </font>
    <font>
      <b/>
      <sz val="11"/>
      <color rgb="FF1F4E79"/>
      <name val="Cambria"/>
      <family val="1"/>
    </font>
    <font>
      <b/>
      <sz val="10"/>
      <color rgb="FF142235"/>
      <name val="Cambria"/>
      <family val="1"/>
    </font>
    <font>
      <sz val="10"/>
      <color rgb="FF4A5A6A"/>
      <name val="Cambria"/>
      <family val="1"/>
    </font>
    <font>
      <b/>
      <sz val="12"/>
      <color rgb="FF1F4E79"/>
      <name val="Cambria"/>
      <family val="1"/>
    </font>
    <font>
      <sz val="10"/>
      <color rgb="FF061226"/>
      <name val="Cambria"/>
      <family val="1"/>
    </font>
    <font>
      <b/>
      <sz val="11"/>
      <color rgb="FF27D38D"/>
      <name val="Cambria"/>
      <family val="1"/>
    </font>
    <font>
      <b/>
      <sz val="10"/>
      <color rgb="FF2E6A4F"/>
      <name val="Cambria"/>
      <family val="1"/>
    </font>
    <font>
      <sz val="10"/>
      <color rgb="FF3B536B"/>
      <name val="Cambria"/>
      <family val="1"/>
    </font>
    <font>
      <b/>
      <sz val="12"/>
      <color rgb="FFFFFFFF"/>
      <name val="Cambria"/>
      <family val="1"/>
    </font>
    <font>
      <b/>
      <sz val="13"/>
      <color rgb="FFFFFFFF"/>
      <name val="Cambria"/>
      <family val="1"/>
    </font>
    <font>
      <b/>
      <sz val="15"/>
      <color rgb="FFFFFFFF"/>
      <name val="Calibri"/>
      <family val="2"/>
    </font>
    <font>
      <i/>
      <sz val="10"/>
      <color rgb="FF5B6777"/>
      <name val="Calibri"/>
      <family val="2"/>
    </font>
    <font>
      <b/>
      <sz val="9"/>
      <color rgb="FF1B5E20"/>
      <name val="Calibri"/>
      <family val="2"/>
    </font>
    <font>
      <b/>
      <sz val="9"/>
      <color rgb="FF5B6777"/>
      <name val="Calibri"/>
      <family val="2"/>
    </font>
    <font>
      <b/>
      <sz val="11"/>
      <color rgb="FFFFFFFF"/>
      <name val="Calibri"/>
      <family val="2"/>
    </font>
    <font>
      <b/>
      <sz val="9"/>
      <color rgb="FF142235"/>
      <name val="Calibri"/>
      <family val="2"/>
    </font>
    <font>
      <sz val="11"/>
      <color rgb="FF142235"/>
      <name val="Calibri"/>
      <family val="2"/>
    </font>
    <font>
      <b/>
      <sz val="11"/>
      <color rgb="FF1B5E20"/>
      <name val="Calibri"/>
      <family val="2"/>
    </font>
    <font>
      <b/>
      <sz val="11"/>
      <color rgb="FF5B6777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sz val="12"/>
      <color rgb="FF000000"/>
      <name val="Aptos Narrow"/>
    </font>
  </fonts>
  <fills count="16">
    <fill>
      <patternFill patternType="none"/>
    </fill>
    <fill>
      <patternFill patternType="gray125"/>
    </fill>
    <fill>
      <patternFill patternType="solid">
        <fgColor rgb="FF10233D"/>
        <bgColor rgb="FF142235"/>
      </patternFill>
    </fill>
    <fill>
      <patternFill patternType="solid">
        <fgColor rgb="FFFBFCFE"/>
        <bgColor rgb="FFFFFFFF"/>
      </patternFill>
    </fill>
    <fill>
      <patternFill patternType="solid">
        <fgColor rgb="FF2B4A6F"/>
        <bgColor rgb="FF2A4274"/>
      </patternFill>
    </fill>
    <fill>
      <patternFill patternType="solid">
        <fgColor rgb="FFFFFFFF"/>
        <bgColor rgb="FFFBFCFE"/>
      </patternFill>
    </fill>
    <fill>
      <patternFill patternType="solid">
        <fgColor rgb="FFE7ECF2"/>
        <bgColor rgb="FFEEF3F8"/>
      </patternFill>
    </fill>
    <fill>
      <patternFill patternType="solid">
        <fgColor rgb="FFEEF3F8"/>
        <bgColor rgb="FFF1F5F9"/>
      </patternFill>
    </fill>
    <fill>
      <patternFill patternType="solid">
        <fgColor rgb="FFF1F5F9"/>
        <bgColor rgb="FFEEF3F8"/>
      </patternFill>
    </fill>
    <fill>
      <patternFill patternType="solid">
        <fgColor rgb="FFEDF7F1"/>
        <bgColor rgb="FFF1F5F9"/>
      </patternFill>
    </fill>
    <fill>
      <patternFill patternType="solid">
        <fgColor rgb="FF10233D"/>
      </patternFill>
    </fill>
    <fill>
      <patternFill patternType="solid">
        <fgColor rgb="FFEAF2FB"/>
      </patternFill>
    </fill>
    <fill>
      <patternFill patternType="solid">
        <fgColor rgb="FFE8F5EC"/>
      </patternFill>
    </fill>
    <fill>
      <patternFill patternType="solid">
        <fgColor rgb="FFF7F9FC"/>
      </patternFill>
    </fill>
    <fill>
      <patternFill patternType="solid">
        <fgColor rgb="FF2B4A6F"/>
      </patternFill>
    </fill>
    <fill>
      <patternFill patternType="solid">
        <fgColor rgb="FFFFFFFF"/>
      </patternFill>
    </fill>
  </fills>
  <borders count="23">
    <border>
      <left/>
      <right/>
      <top/>
      <bottom/>
      <diagonal/>
    </border>
    <border>
      <left style="thin">
        <color rgb="FF2A4274"/>
      </left>
      <right style="thin">
        <color rgb="FF2A4274"/>
      </right>
      <top style="thin">
        <color rgb="FF2A4274"/>
      </top>
      <bottom style="thin">
        <color rgb="FF2A4274"/>
      </bottom>
      <diagonal/>
    </border>
    <border>
      <left style="medium">
        <color rgb="FF5B7FA6"/>
      </left>
      <right style="medium">
        <color rgb="FF5B7FA6"/>
      </right>
      <top style="medium">
        <color rgb="FF5B7FA6"/>
      </top>
      <bottom style="medium">
        <color rgb="FF5B7FA6"/>
      </bottom>
      <diagonal/>
    </border>
    <border>
      <left/>
      <right/>
      <top/>
      <bottom style="medium">
        <color rgb="FF2B4A6F"/>
      </bottom>
      <diagonal/>
    </border>
    <border>
      <left/>
      <right/>
      <top/>
      <bottom style="thin">
        <color rgb="FFC9D3E0"/>
      </bottom>
      <diagonal/>
    </border>
    <border>
      <left style="thin">
        <color rgb="FFD6DEE8"/>
      </left>
      <right style="thin">
        <color rgb="FFD6DEE8"/>
      </right>
      <top style="thin">
        <color rgb="FFD6DEE8"/>
      </top>
      <bottom style="thin">
        <color rgb="FFD6DEE8"/>
      </bottom>
      <diagonal/>
    </border>
    <border>
      <left style="thin">
        <color rgb="FFD6DEE8"/>
      </left>
      <right style="thin">
        <color rgb="FFD6DEE8"/>
      </right>
      <top style="thin">
        <color rgb="FFD6DEE8"/>
      </top>
      <bottom style="thin">
        <color rgb="FFC9D3E0"/>
      </bottom>
      <diagonal/>
    </border>
    <border>
      <left/>
      <right/>
      <top style="thin">
        <color rgb="FF2A4274"/>
      </top>
      <bottom/>
      <diagonal/>
    </border>
    <border>
      <left/>
      <right style="thin">
        <color rgb="FF2A4274"/>
      </right>
      <top style="thin">
        <color rgb="FF2A4274"/>
      </top>
      <bottom/>
      <diagonal/>
    </border>
    <border>
      <left/>
      <right/>
      <top style="thin">
        <color rgb="FF2A4274"/>
      </top>
      <bottom style="thin">
        <color rgb="FF2A4274"/>
      </bottom>
      <diagonal/>
    </border>
    <border>
      <left/>
      <right style="thin">
        <color rgb="FF2A4274"/>
      </right>
      <top style="thin">
        <color rgb="FF2A4274"/>
      </top>
      <bottom style="thin">
        <color rgb="FF2A4274"/>
      </bottom>
      <diagonal/>
    </border>
    <border>
      <left style="thin">
        <color rgb="FF2A4274"/>
      </left>
      <right/>
      <top/>
      <bottom style="thin">
        <color rgb="FF2A4274"/>
      </bottom>
      <diagonal/>
    </border>
    <border>
      <left/>
      <right/>
      <top/>
      <bottom style="thin">
        <color rgb="FF2A4274"/>
      </bottom>
      <diagonal/>
    </border>
    <border>
      <left/>
      <right style="thin">
        <color rgb="FF2A4274"/>
      </right>
      <top/>
      <bottom style="thin">
        <color rgb="FF2A4274"/>
      </bottom>
      <diagonal/>
    </border>
    <border>
      <left style="medium">
        <color rgb="FFD7E1EA"/>
      </left>
      <right style="thin">
        <color rgb="FFD7E1EA"/>
      </right>
      <top style="medium">
        <color rgb="FFD7E1EA"/>
      </top>
      <bottom style="thin">
        <color rgb="FFD7E1EA"/>
      </bottom>
      <diagonal/>
    </border>
    <border>
      <left style="medium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  <border>
      <left style="thin">
        <color rgb="FFD7E1EA"/>
      </left>
      <right style="medium">
        <color rgb="FFD7E1EA"/>
      </right>
      <top style="thin">
        <color rgb="FFD7E1EA"/>
      </top>
      <bottom style="thin">
        <color rgb="FFD7E1EA"/>
      </bottom>
      <diagonal/>
    </border>
    <border>
      <left style="medium">
        <color rgb="FFD7E1EA"/>
      </left>
      <right style="thin">
        <color rgb="FFD7E1EA"/>
      </right>
      <top style="thin">
        <color rgb="FFD7E1EA"/>
      </top>
      <bottom style="medium">
        <color rgb="FFD7E1EA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medium">
        <color rgb="FFD7E1EA"/>
      </bottom>
      <diagonal/>
    </border>
    <border>
      <left style="thin">
        <color rgb="FFD7E1EA"/>
      </left>
      <right style="medium">
        <color rgb="FFD7E1EA"/>
      </right>
      <top style="thin">
        <color rgb="FFD7E1EA"/>
      </top>
      <bottom style="medium">
        <color rgb="FFD7E1EA"/>
      </bottom>
      <diagonal/>
    </border>
    <border>
      <left/>
      <right/>
      <top style="medium">
        <color rgb="FFD7E1EA"/>
      </top>
      <bottom style="thin">
        <color rgb="FFD7E1EA"/>
      </bottom>
      <diagonal/>
    </border>
    <border>
      <left/>
      <right style="thin">
        <color rgb="FFD7E1EA"/>
      </right>
      <top style="medium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3" borderId="0" xfId="0" applyFill="1"/>
    <xf numFmtId="0" fontId="6" fillId="4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 applyProtection="1">
      <alignment horizontal="left" vertical="center"/>
      <protection locked="0"/>
    </xf>
    <xf numFmtId="0" fontId="8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left" vertical="center"/>
    </xf>
    <xf numFmtId="0" fontId="9" fillId="3" borderId="4" xfId="0" applyFont="1" applyFill="1" applyBorder="1" applyAlignment="1">
      <alignment horizontal="center" vertical="center"/>
    </xf>
    <xf numFmtId="164" fontId="9" fillId="3" borderId="4" xfId="0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8" fillId="8" borderId="5" xfId="0" applyFont="1" applyFill="1" applyBorder="1" applyAlignment="1">
      <alignment vertical="center"/>
    </xf>
    <xf numFmtId="0" fontId="13" fillId="8" borderId="5" xfId="0" applyFont="1" applyFill="1" applyBorder="1" applyAlignment="1">
      <alignment vertical="center"/>
    </xf>
    <xf numFmtId="0" fontId="8" fillId="8" borderId="5" xfId="0" applyFont="1" applyFill="1" applyBorder="1"/>
    <xf numFmtId="0" fontId="13" fillId="8" borderId="5" xfId="0" applyFont="1" applyFill="1" applyBorder="1"/>
    <xf numFmtId="0" fontId="14" fillId="8" borderId="4" xfId="0" applyFont="1" applyFill="1" applyBorder="1" applyAlignment="1">
      <alignment horizontal="left" vertical="center"/>
    </xf>
    <xf numFmtId="0" fontId="9" fillId="3" borderId="4" xfId="0" applyFont="1" applyFill="1" applyBorder="1" applyAlignment="1">
      <alignment horizontal="left" vertical="center"/>
    </xf>
    <xf numFmtId="0" fontId="13" fillId="9" borderId="6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165" fontId="9" fillId="3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left" vertical="center"/>
    </xf>
    <xf numFmtId="165" fontId="9" fillId="5" borderId="1" xfId="0" applyNumberFormat="1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9" fillId="12" borderId="0" xfId="0" applyFont="1" applyFill="1" applyAlignment="1">
      <alignment horizontal="center"/>
    </xf>
    <xf numFmtId="0" fontId="20" fillId="13" borderId="0" xfId="0" applyFont="1" applyFill="1" applyAlignment="1">
      <alignment horizontal="center"/>
    </xf>
    <xf numFmtId="0" fontId="22" fillId="11" borderId="15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2" fillId="11" borderId="17" xfId="0" applyFont="1" applyFill="1" applyBorder="1" applyAlignment="1">
      <alignment horizontal="center" vertical="center"/>
    </xf>
    <xf numFmtId="0" fontId="23" fillId="12" borderId="15" xfId="0" applyFont="1" applyFill="1" applyBorder="1" applyAlignment="1">
      <alignment horizontal="center" vertical="center"/>
    </xf>
    <xf numFmtId="0" fontId="23" fillId="12" borderId="16" xfId="0" applyFont="1" applyFill="1" applyBorder="1" applyAlignment="1">
      <alignment horizontal="left" vertical="center"/>
    </xf>
    <xf numFmtId="0" fontId="23" fillId="12" borderId="16" xfId="0" applyFont="1" applyFill="1" applyBorder="1" applyAlignment="1">
      <alignment horizontal="center" vertical="center"/>
    </xf>
    <xf numFmtId="0" fontId="24" fillId="12" borderId="17" xfId="0" applyFont="1" applyFill="1" applyBorder="1" applyAlignment="1">
      <alignment horizontal="center" vertical="center"/>
    </xf>
    <xf numFmtId="0" fontId="23" fillId="15" borderId="15" xfId="0" applyFont="1" applyFill="1" applyBorder="1" applyAlignment="1">
      <alignment horizontal="center" vertical="center"/>
    </xf>
    <xf numFmtId="0" fontId="23" fillId="15" borderId="16" xfId="0" applyFont="1" applyFill="1" applyBorder="1" applyAlignment="1">
      <alignment horizontal="left" vertical="center"/>
    </xf>
    <xf numFmtId="0" fontId="23" fillId="15" borderId="16" xfId="0" applyFont="1" applyFill="1" applyBorder="1" applyAlignment="1">
      <alignment horizontal="center" vertical="center"/>
    </xf>
    <xf numFmtId="0" fontId="25" fillId="15" borderId="17" xfId="0" applyFont="1" applyFill="1" applyBorder="1" applyAlignment="1">
      <alignment horizontal="center" vertical="center"/>
    </xf>
    <xf numFmtId="0" fontId="23" fillId="15" borderId="18" xfId="0" applyFont="1" applyFill="1" applyBorder="1" applyAlignment="1">
      <alignment horizontal="center" vertical="center"/>
    </xf>
    <xf numFmtId="0" fontId="23" fillId="15" borderId="19" xfId="0" applyFont="1" applyFill="1" applyBorder="1" applyAlignment="1">
      <alignment horizontal="left" vertical="center"/>
    </xf>
    <xf numFmtId="0" fontId="23" fillId="15" borderId="19" xfId="0" applyFont="1" applyFill="1" applyBorder="1" applyAlignment="1">
      <alignment horizontal="center" vertical="center"/>
    </xf>
    <xf numFmtId="0" fontId="25" fillId="15" borderId="20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15" fillId="4" borderId="1" xfId="0" applyFont="1" applyFill="1" applyBorder="1" applyAlignment="1">
      <alignment horizontal="left" vertical="center"/>
    </xf>
    <xf numFmtId="0" fontId="16" fillId="2" borderId="1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left" vertical="center" wrapText="1"/>
    </xf>
    <xf numFmtId="0" fontId="10" fillId="5" borderId="2" xfId="0" applyFont="1" applyFill="1" applyBorder="1" applyAlignment="1" applyProtection="1">
      <alignment horizontal="center" vertical="center"/>
      <protection locked="0"/>
    </xf>
    <xf numFmtId="0" fontId="4" fillId="3" borderId="4" xfId="0" applyFont="1" applyFill="1" applyBorder="1" applyAlignment="1">
      <alignment horizontal="left" vertical="center"/>
    </xf>
    <xf numFmtId="166" fontId="9" fillId="3" borderId="4" xfId="0" applyNumberFormat="1" applyFont="1" applyFill="1" applyBorder="1" applyAlignment="1">
      <alignment horizontal="center" vertical="center"/>
    </xf>
    <xf numFmtId="0" fontId="27" fillId="0" borderId="0" xfId="0" applyFont="1"/>
    <xf numFmtId="0" fontId="4" fillId="3" borderId="1" xfId="0" applyFont="1" applyFill="1" applyBorder="1" applyAlignment="1">
      <alignment horizontal="left" vertical="center" wrapText="1"/>
    </xf>
    <xf numFmtId="0" fontId="0" fillId="0" borderId="7" xfId="0" applyBorder="1"/>
    <xf numFmtId="0" fontId="0" fillId="0" borderId="8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2" borderId="1" xfId="0" applyFont="1" applyFill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3" fillId="4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12" fillId="0" borderId="0" xfId="0" applyFont="1"/>
    <xf numFmtId="0" fontId="0" fillId="0" borderId="0" xfId="0"/>
    <xf numFmtId="0" fontId="17" fillId="10" borderId="0" xfId="0" applyFont="1" applyFill="1" applyAlignment="1">
      <alignment horizontal="center" vertical="center"/>
    </xf>
    <xf numFmtId="0" fontId="21" fillId="14" borderId="14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18" fillId="11" borderId="0" xfId="0" applyFont="1" applyFill="1" applyAlignment="1">
      <alignment horizontal="left" vertical="center"/>
    </xf>
    <xf numFmtId="0" fontId="26" fillId="0" borderId="0" xfId="0" applyFont="1"/>
  </cellXfs>
  <cellStyles count="1">
    <cellStyle name="Normal" xfId="0" builtinId="0"/>
  </cellStyles>
  <dxfs count="8">
    <dxf>
      <font>
        <color rgb="FF1F4E79"/>
      </font>
      <fill>
        <patternFill>
          <bgColor rgb="FFEAF4FF"/>
        </patternFill>
      </fill>
    </dxf>
    <dxf>
      <font>
        <b/>
        <sz val="10"/>
        <color rgb="FF9C6500"/>
      </font>
      <fill>
        <patternFill>
          <bgColor rgb="FFFFF3E0"/>
        </patternFill>
      </fill>
    </dxf>
    <dxf>
      <font>
        <color rgb="FF1F4E79"/>
      </font>
      <fill>
        <patternFill>
          <bgColor rgb="FFEAF4FF"/>
        </patternFill>
      </fill>
    </dxf>
    <dxf>
      <font>
        <b/>
        <sz val="10"/>
        <color rgb="FF9C6500"/>
      </font>
      <fill>
        <patternFill>
          <bgColor rgb="FFFFF3E0"/>
        </patternFill>
      </fill>
    </dxf>
    <dxf>
      <font>
        <color rgb="FF1F4E79"/>
      </font>
      <fill>
        <patternFill>
          <bgColor rgb="FFEAF4FF"/>
        </patternFill>
      </fill>
    </dxf>
    <dxf>
      <font>
        <b/>
        <sz val="10"/>
        <color rgb="FF9C6500"/>
      </font>
      <fill>
        <patternFill>
          <bgColor rgb="FFFFF3E0"/>
        </patternFill>
      </fill>
    </dxf>
    <dxf>
      <font>
        <color rgb="FF1F4E79"/>
      </font>
      <fill>
        <patternFill>
          <bgColor rgb="FFEAF4FF"/>
        </patternFill>
      </fill>
    </dxf>
    <dxf>
      <font>
        <b/>
        <sz val="10"/>
        <color rgb="FF9C6500"/>
      </font>
      <fill>
        <patternFill>
          <bgColor rgb="FFFFF3E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9C6500"/>
      <rgbColor rgb="FF800080"/>
      <rgbColor rgb="FF2E6A4F"/>
      <rgbColor rgb="FFD6DEE8"/>
      <rgbColor rgb="FF4A5A6A"/>
      <rgbColor rgb="FF9999FF"/>
      <rgbColor rgb="FF993366"/>
      <rgbColor rgb="FFFFF3E0"/>
      <rgbColor rgb="FFEAF4FF"/>
      <rgbColor rgb="FF660066"/>
      <rgbColor rgb="FFFF8080"/>
      <rgbColor rgb="FF1F4E79"/>
      <rgbColor rgb="FFC9D3E0"/>
      <rgbColor rgb="FF000080"/>
      <rgbColor rgb="FFFF00FF"/>
      <rgbColor rgb="FFFFFF00"/>
      <rgbColor rgb="FF00FFFF"/>
      <rgbColor rgb="FF800080"/>
      <rgbColor rgb="FF800000"/>
      <rgbColor rgb="FF3B536B"/>
      <rgbColor rgb="FF0000FF"/>
      <rgbColor rgb="FF00CCFF"/>
      <rgbColor rgb="FFEDF7F1"/>
      <rgbColor rgb="FFE7ECF2"/>
      <rgbColor rgb="FFFBFCFE"/>
      <rgbColor rgb="FFF1F5F9"/>
      <rgbColor rgb="FFFF99CC"/>
      <rgbColor rgb="FFCC99FF"/>
      <rgbColor rgb="FFEEF3F8"/>
      <rgbColor rgb="FF3366FF"/>
      <rgbColor rgb="FF27D38D"/>
      <rgbColor rgb="FF99CC00"/>
      <rgbColor rgb="FFFFCC00"/>
      <rgbColor rgb="FFFF9900"/>
      <rgbColor rgb="FFFF6600"/>
      <rgbColor rgb="FF5B7FA6"/>
      <rgbColor rgb="FF969696"/>
      <rgbColor rgb="FF10233D"/>
      <rgbColor rgb="FF339966"/>
      <rgbColor rgb="FF061226"/>
      <rgbColor rgb="FF2B4A6F"/>
      <rgbColor rgb="FF993300"/>
      <rgbColor rgb="FF993366"/>
      <rgbColor rgb="FF2A4274"/>
      <rgbColor rgb="FF142235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1</xdr:row>
          <xdr:rowOff>12700</xdr:rowOff>
        </xdr:from>
        <xdr:to>
          <xdr:col>14</xdr:col>
          <xdr:colOff>355600</xdr:colOff>
          <xdr:row>2</xdr:row>
          <xdr:rowOff>88900</xdr:rowOff>
        </xdr:to>
        <xdr:sp macro="" textlink="">
          <xdr:nvSpPr>
            <xdr:cNvPr id="2049" name="Button 1" descr="Cerrar Fase de Grupo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Cerrar Fase de Grupos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I30"/>
  <sheetViews>
    <sheetView showGridLines="0" tabSelected="1" zoomScaleNormal="100" workbookViewId="0">
      <selection activeCell="B11" sqref="B11:H12"/>
    </sheetView>
  </sheetViews>
  <sheetFormatPr baseColWidth="10" defaultColWidth="8.6640625" defaultRowHeight="15" customHeight="1" x14ac:dyDescent="0.2"/>
  <cols>
    <col min="1" max="1" width="4" customWidth="1"/>
    <col min="2" max="2" width="22" customWidth="1"/>
    <col min="3" max="9" width="16" customWidth="1"/>
    <col min="10" max="10" width="15" customWidth="1"/>
  </cols>
  <sheetData>
    <row r="1" spans="2:9" x14ac:dyDescent="0.2"/>
    <row r="2" spans="2:9" ht="17.25" customHeight="1" x14ac:dyDescent="0.2">
      <c r="B2" s="62" t="s">
        <v>27</v>
      </c>
      <c r="C2" s="63"/>
      <c r="D2" s="63"/>
      <c r="E2" s="63"/>
      <c r="F2" s="63"/>
      <c r="G2" s="63"/>
      <c r="H2" s="63"/>
      <c r="I2" s="64"/>
    </row>
    <row r="3" spans="2:9" ht="15" customHeight="1" x14ac:dyDescent="0.2">
      <c r="B3" s="66" t="s">
        <v>28</v>
      </c>
      <c r="C3" s="63"/>
      <c r="D3" s="63"/>
      <c r="E3" s="63"/>
      <c r="F3" s="63"/>
      <c r="G3" s="63"/>
      <c r="H3" s="63"/>
      <c r="I3" s="64"/>
    </row>
    <row r="4" spans="2:9" x14ac:dyDescent="0.2"/>
    <row r="5" spans="2:9" x14ac:dyDescent="0.2"/>
    <row r="6" spans="2:9" ht="21" customHeight="1" x14ac:dyDescent="0.2">
      <c r="B6" s="65" t="s">
        <v>29</v>
      </c>
      <c r="C6" s="63"/>
      <c r="D6" s="63"/>
      <c r="E6" s="63"/>
      <c r="F6" s="63"/>
      <c r="G6" s="63"/>
      <c r="H6" s="64"/>
    </row>
    <row r="7" spans="2:9" ht="24" customHeight="1" x14ac:dyDescent="0.2">
      <c r="B7" s="56" t="s">
        <v>30</v>
      </c>
      <c r="C7" s="57"/>
      <c r="D7" s="57"/>
      <c r="E7" s="57"/>
      <c r="F7" s="57"/>
      <c r="G7" s="57"/>
      <c r="H7" s="58"/>
    </row>
    <row r="8" spans="2:9" ht="24" customHeight="1" x14ac:dyDescent="0.2">
      <c r="B8" s="59"/>
      <c r="C8" s="60"/>
      <c r="D8" s="60"/>
      <c r="E8" s="60"/>
      <c r="F8" s="60"/>
      <c r="G8" s="60"/>
      <c r="H8" s="61"/>
    </row>
    <row r="9" spans="2:9" x14ac:dyDescent="0.2"/>
    <row r="10" spans="2:9" ht="21" customHeight="1" x14ac:dyDescent="0.2">
      <c r="B10" s="65" t="s">
        <v>31</v>
      </c>
      <c r="C10" s="63"/>
      <c r="D10" s="63"/>
      <c r="E10" s="63"/>
      <c r="F10" s="63"/>
      <c r="G10" s="63"/>
      <c r="H10" s="64"/>
    </row>
    <row r="11" spans="2:9" ht="24" customHeight="1" x14ac:dyDescent="0.2">
      <c r="B11" s="56" t="s">
        <v>32</v>
      </c>
      <c r="C11" s="57"/>
      <c r="D11" s="57"/>
      <c r="E11" s="57"/>
      <c r="F11" s="57"/>
      <c r="G11" s="57"/>
      <c r="H11" s="58"/>
    </row>
    <row r="12" spans="2:9" ht="24" customHeight="1" x14ac:dyDescent="0.2">
      <c r="B12" s="59"/>
      <c r="C12" s="60"/>
      <c r="D12" s="60"/>
      <c r="E12" s="60"/>
      <c r="F12" s="60"/>
      <c r="G12" s="60"/>
      <c r="H12" s="61"/>
    </row>
    <row r="13" spans="2:9" x14ac:dyDescent="0.2"/>
    <row r="14" spans="2:9" ht="24" customHeight="1" x14ac:dyDescent="0.2">
      <c r="B14" s="56" t="s">
        <v>33</v>
      </c>
      <c r="C14" s="63"/>
      <c r="D14" s="63"/>
      <c r="E14" s="63"/>
      <c r="F14" s="63"/>
      <c r="G14" s="63"/>
      <c r="H14" s="64"/>
    </row>
    <row r="15" spans="2:9" ht="24" customHeight="1" x14ac:dyDescent="0.2">
      <c r="B15" s="56" t="s">
        <v>34</v>
      </c>
      <c r="C15" s="57"/>
      <c r="D15" s="57"/>
      <c r="E15" s="57"/>
      <c r="F15" s="57"/>
      <c r="G15" s="57"/>
      <c r="H15" s="58"/>
    </row>
    <row r="16" spans="2:9" ht="24" customHeight="1" x14ac:dyDescent="0.2">
      <c r="B16" s="59"/>
      <c r="C16" s="60"/>
      <c r="D16" s="60"/>
      <c r="E16" s="60"/>
      <c r="F16" s="60"/>
      <c r="G16" s="60"/>
      <c r="H16" s="61"/>
    </row>
    <row r="17" spans="2:8" x14ac:dyDescent="0.2"/>
    <row r="18" spans="2:8" ht="21" customHeight="1" x14ac:dyDescent="0.2">
      <c r="B18" s="65" t="s">
        <v>35</v>
      </c>
      <c r="C18" s="63"/>
      <c r="D18" s="63"/>
      <c r="E18" s="63"/>
      <c r="F18" s="63"/>
      <c r="G18" s="63"/>
      <c r="H18" s="64"/>
    </row>
    <row r="19" spans="2:8" ht="24" customHeight="1" x14ac:dyDescent="0.2">
      <c r="B19" s="56" t="s">
        <v>36</v>
      </c>
      <c r="C19" s="57"/>
      <c r="D19" s="57"/>
      <c r="E19" s="57"/>
      <c r="F19" s="57"/>
      <c r="G19" s="57"/>
      <c r="H19" s="58"/>
    </row>
    <row r="20" spans="2:8" ht="24" customHeight="1" x14ac:dyDescent="0.2">
      <c r="B20" s="59"/>
      <c r="C20" s="60"/>
      <c r="D20" s="60"/>
      <c r="E20" s="60"/>
      <c r="F20" s="60"/>
      <c r="G20" s="60"/>
      <c r="H20" s="61"/>
    </row>
    <row r="21" spans="2:8" x14ac:dyDescent="0.2"/>
    <row r="22" spans="2:8" ht="21" customHeight="1" x14ac:dyDescent="0.2">
      <c r="B22" s="65" t="s">
        <v>37</v>
      </c>
      <c r="C22" s="63"/>
      <c r="D22" s="63"/>
      <c r="E22" s="63"/>
      <c r="F22" s="63"/>
      <c r="G22" s="63"/>
      <c r="H22" s="64"/>
    </row>
    <row r="23" spans="2:8" ht="24" customHeight="1" x14ac:dyDescent="0.2">
      <c r="B23" s="56" t="s">
        <v>38</v>
      </c>
      <c r="C23" s="57"/>
      <c r="D23" s="57"/>
      <c r="E23" s="57"/>
      <c r="F23" s="57"/>
      <c r="G23" s="57"/>
      <c r="H23" s="58"/>
    </row>
    <row r="24" spans="2:8" ht="24" customHeight="1" x14ac:dyDescent="0.2">
      <c r="B24" s="59"/>
      <c r="C24" s="60"/>
      <c r="D24" s="60"/>
      <c r="E24" s="60"/>
      <c r="F24" s="60"/>
      <c r="G24" s="60"/>
      <c r="H24" s="61"/>
    </row>
    <row r="25" spans="2:8" x14ac:dyDescent="0.2"/>
    <row r="26" spans="2:8" ht="21" customHeight="1" x14ac:dyDescent="0.2">
      <c r="B26" s="65" t="s">
        <v>39</v>
      </c>
      <c r="C26" s="63"/>
      <c r="D26" s="63"/>
      <c r="E26" s="63"/>
      <c r="F26" s="63"/>
      <c r="G26" s="63"/>
      <c r="H26" s="64"/>
    </row>
    <row r="27" spans="2:8" ht="24" customHeight="1" x14ac:dyDescent="0.2">
      <c r="B27" s="56" t="s">
        <v>40</v>
      </c>
      <c r="C27" s="57"/>
      <c r="D27" s="57"/>
      <c r="E27" s="57"/>
      <c r="F27" s="57"/>
      <c r="G27" s="57"/>
      <c r="H27" s="58"/>
    </row>
    <row r="28" spans="2:8" ht="24" customHeight="1" x14ac:dyDescent="0.2">
      <c r="B28" s="59"/>
      <c r="C28" s="60"/>
      <c r="D28" s="60"/>
      <c r="E28" s="60"/>
      <c r="F28" s="60"/>
      <c r="G28" s="60"/>
      <c r="H28" s="61"/>
    </row>
    <row r="29" spans="2:8" x14ac:dyDescent="0.2"/>
    <row r="30" spans="2:8" ht="21.75" customHeight="1" x14ac:dyDescent="0.2">
      <c r="B30" s="51" t="s">
        <v>41</v>
      </c>
    </row>
  </sheetData>
  <sheetProtection password="CE4B" sheet="1"/>
  <mergeCells count="14">
    <mergeCell ref="B27:H28"/>
    <mergeCell ref="B2:I2"/>
    <mergeCell ref="B6:H6"/>
    <mergeCell ref="B3:I3"/>
    <mergeCell ref="B10:H10"/>
    <mergeCell ref="B7:H8"/>
    <mergeCell ref="B11:H12"/>
    <mergeCell ref="B19:H20"/>
    <mergeCell ref="B15:H16"/>
    <mergeCell ref="B22:H22"/>
    <mergeCell ref="B14:H14"/>
    <mergeCell ref="B23:H24"/>
    <mergeCell ref="B26:H26"/>
    <mergeCell ref="B18:H18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199"/>
  <sheetViews>
    <sheetView showGridLines="0" zoomScale="90" zoomScaleNormal="90" workbookViewId="0">
      <pane xSplit="3" ySplit="4" topLeftCell="D127" activePane="bottomRight" state="frozen"/>
      <selection pane="topRight" activeCell="D1" sqref="D1"/>
      <selection pane="bottomLeft" activeCell="A5" sqref="A5"/>
      <selection pane="bottomRight" activeCell="D148" sqref="D148:E148"/>
    </sheetView>
  </sheetViews>
  <sheetFormatPr baseColWidth="10" defaultColWidth="8.6640625" defaultRowHeight="15" customHeight="1" x14ac:dyDescent="0.2"/>
  <cols>
    <col min="1" max="1" width="10" customWidth="1"/>
    <col min="2" max="2" width="8" customWidth="1"/>
    <col min="3" max="3" width="28" customWidth="1"/>
    <col min="4" max="5" width="13" customWidth="1"/>
    <col min="6" max="6" width="28" customWidth="1"/>
    <col min="7" max="7" width="11" customWidth="1"/>
    <col min="8" max="8" width="13" customWidth="1"/>
    <col min="9" max="9" width="10" customWidth="1"/>
    <col min="10" max="10" width="12.83203125" bestFit="1" customWidth="1"/>
    <col min="11" max="11" width="33.33203125" bestFit="1" customWidth="1"/>
  </cols>
  <sheetData>
    <row r="1" spans="1:11" ht="17.25" customHeight="1" x14ac:dyDescent="0.2">
      <c r="A1" s="62" t="s">
        <v>42</v>
      </c>
      <c r="B1" s="63"/>
      <c r="C1" s="63"/>
      <c r="D1" s="63"/>
      <c r="E1" s="63"/>
      <c r="F1" s="63"/>
      <c r="G1" s="63"/>
      <c r="H1" s="63"/>
      <c r="I1" s="63"/>
      <c r="J1" s="63"/>
      <c r="K1" s="64"/>
    </row>
    <row r="2" spans="1:11" ht="24" customHeight="1" x14ac:dyDescent="0.2">
      <c r="A2" s="1"/>
      <c r="B2" s="2" t="s">
        <v>43</v>
      </c>
      <c r="C2" s="3" t="s">
        <v>44</v>
      </c>
      <c r="D2" s="1"/>
      <c r="E2" s="1"/>
      <c r="F2" s="1"/>
      <c r="G2" s="1"/>
      <c r="H2" s="4" t="s">
        <v>45</v>
      </c>
      <c r="I2" s="5">
        <f>COUNTA(A6:A200)</f>
        <v>144</v>
      </c>
      <c r="J2" s="5" t="s">
        <v>46</v>
      </c>
      <c r="K2" s="5" t="s">
        <v>47</v>
      </c>
    </row>
    <row r="3" spans="1:11" ht="15" customHeight="1" x14ac:dyDescent="0.2">
      <c r="A3" s="68" t="s">
        <v>48</v>
      </c>
      <c r="B3" s="63"/>
      <c r="C3" s="63"/>
      <c r="D3" s="63"/>
      <c r="E3" s="63"/>
      <c r="F3" s="63"/>
      <c r="G3" s="63"/>
      <c r="H3" s="63"/>
      <c r="I3" s="63"/>
      <c r="J3" s="63"/>
      <c r="K3" s="64"/>
    </row>
    <row r="4" spans="1:11" ht="15" customHeight="1" x14ac:dyDescent="0.2">
      <c r="A4" s="6" t="s">
        <v>2</v>
      </c>
      <c r="B4" s="6" t="s">
        <v>49</v>
      </c>
      <c r="C4" s="6" t="s">
        <v>50</v>
      </c>
      <c r="D4" s="6" t="s">
        <v>51</v>
      </c>
      <c r="E4" s="6" t="s">
        <v>52</v>
      </c>
      <c r="F4" s="6" t="s">
        <v>53</v>
      </c>
      <c r="G4" s="6" t="s">
        <v>13</v>
      </c>
      <c r="H4" s="6" t="s">
        <v>8</v>
      </c>
      <c r="I4" s="6" t="s">
        <v>9</v>
      </c>
      <c r="J4" s="6" t="s">
        <v>10</v>
      </c>
      <c r="K4" s="6" t="s">
        <v>11</v>
      </c>
    </row>
    <row r="5" spans="1:11" ht="19.5" customHeight="1" x14ac:dyDescent="0.2">
      <c r="A5" s="67" t="s">
        <v>54</v>
      </c>
      <c r="B5" s="63"/>
      <c r="C5" s="63"/>
      <c r="D5" s="63"/>
      <c r="E5" s="63"/>
      <c r="F5" s="63"/>
      <c r="G5" s="63"/>
      <c r="H5" s="63"/>
      <c r="I5" s="63"/>
      <c r="J5" s="63"/>
      <c r="K5" s="64"/>
    </row>
    <row r="6" spans="1:11" ht="24" customHeight="1" x14ac:dyDescent="0.2">
      <c r="A6" s="7" t="s">
        <v>55</v>
      </c>
      <c r="B6" s="7" t="s">
        <v>56</v>
      </c>
      <c r="C6" s="8" t="s">
        <v>57</v>
      </c>
      <c r="D6" s="52"/>
      <c r="E6" s="52"/>
      <c r="F6" s="8" t="s">
        <v>58</v>
      </c>
      <c r="G6" s="9" t="s">
        <v>59</v>
      </c>
      <c r="H6" s="10">
        <v>46184</v>
      </c>
      <c r="I6" s="11" t="s">
        <v>60</v>
      </c>
      <c r="J6" s="11" t="s">
        <v>61</v>
      </c>
      <c r="K6" s="11" t="s">
        <v>62</v>
      </c>
    </row>
    <row r="7" spans="1:11" ht="19.5" customHeight="1" x14ac:dyDescent="0.2">
      <c r="A7" s="67" t="s">
        <v>63</v>
      </c>
      <c r="B7" s="63"/>
      <c r="C7" s="63"/>
      <c r="D7" s="63"/>
      <c r="E7" s="63"/>
      <c r="F7" s="63"/>
      <c r="G7" s="63"/>
      <c r="H7" s="63"/>
      <c r="I7" s="63"/>
      <c r="J7" s="63"/>
      <c r="K7" s="64"/>
    </row>
    <row r="8" spans="1:11" ht="24" customHeight="1" x14ac:dyDescent="0.2">
      <c r="A8" s="7" t="s">
        <v>64</v>
      </c>
      <c r="B8" s="7" t="s">
        <v>56</v>
      </c>
      <c r="C8" s="8" t="s">
        <v>57</v>
      </c>
      <c r="D8" s="52"/>
      <c r="E8" s="52"/>
      <c r="F8" s="8" t="s">
        <v>65</v>
      </c>
      <c r="G8" s="9" t="s">
        <v>59</v>
      </c>
      <c r="H8" s="10">
        <v>46185</v>
      </c>
      <c r="I8" s="11" t="s">
        <v>16</v>
      </c>
      <c r="J8" s="11" t="s">
        <v>66</v>
      </c>
      <c r="K8" s="11" t="s">
        <v>67</v>
      </c>
    </row>
    <row r="9" spans="1:11" ht="19.5" customHeight="1" x14ac:dyDescent="0.2">
      <c r="A9" s="67" t="s">
        <v>68</v>
      </c>
      <c r="B9" s="63"/>
      <c r="C9" s="63"/>
      <c r="D9" s="63"/>
      <c r="E9" s="63"/>
      <c r="F9" s="63"/>
      <c r="G9" s="63"/>
      <c r="H9" s="63"/>
      <c r="I9" s="63"/>
      <c r="J9" s="63"/>
      <c r="K9" s="64"/>
    </row>
    <row r="10" spans="1:11" ht="24" customHeight="1" x14ac:dyDescent="0.2">
      <c r="A10" s="7" t="s">
        <v>69</v>
      </c>
      <c r="B10" s="7" t="s">
        <v>56</v>
      </c>
      <c r="C10" s="8" t="s">
        <v>57</v>
      </c>
      <c r="D10" s="52"/>
      <c r="E10" s="52"/>
      <c r="F10" s="8" t="s">
        <v>70</v>
      </c>
      <c r="G10" s="9" t="s">
        <v>59</v>
      </c>
      <c r="H10" s="10">
        <v>46186</v>
      </c>
      <c r="I10" s="11" t="s">
        <v>71</v>
      </c>
      <c r="J10" s="11" t="s">
        <v>72</v>
      </c>
      <c r="K10" s="11" t="s">
        <v>73</v>
      </c>
    </row>
    <row r="11" spans="1:11" ht="19.5" customHeight="1" x14ac:dyDescent="0.2">
      <c r="A11" s="67" t="s">
        <v>74</v>
      </c>
      <c r="B11" s="63"/>
      <c r="C11" s="63"/>
      <c r="D11" s="63"/>
      <c r="E11" s="63"/>
      <c r="F11" s="63"/>
      <c r="G11" s="63"/>
      <c r="H11" s="63"/>
      <c r="I11" s="63"/>
      <c r="J11" s="63"/>
      <c r="K11" s="64"/>
    </row>
    <row r="12" spans="1:11" ht="24" customHeight="1" x14ac:dyDescent="0.2">
      <c r="A12" s="7" t="s">
        <v>75</v>
      </c>
      <c r="B12" s="7" t="s">
        <v>56</v>
      </c>
      <c r="C12" s="8" t="s">
        <v>58</v>
      </c>
      <c r="D12" s="52"/>
      <c r="E12" s="52"/>
      <c r="F12" s="8" t="s">
        <v>65</v>
      </c>
      <c r="G12" s="9" t="s">
        <v>59</v>
      </c>
      <c r="H12" s="10">
        <v>46187</v>
      </c>
      <c r="I12" s="11" t="s">
        <v>76</v>
      </c>
      <c r="J12" s="11" t="s">
        <v>77</v>
      </c>
      <c r="K12" s="11" t="s">
        <v>78</v>
      </c>
    </row>
    <row r="13" spans="1:11" ht="19.5" customHeight="1" x14ac:dyDescent="0.2">
      <c r="A13" s="67" t="s">
        <v>79</v>
      </c>
      <c r="B13" s="63"/>
      <c r="C13" s="63"/>
      <c r="D13" s="63"/>
      <c r="E13" s="63"/>
      <c r="F13" s="63"/>
      <c r="G13" s="63"/>
      <c r="H13" s="63"/>
      <c r="I13" s="63"/>
      <c r="J13" s="63"/>
      <c r="K13" s="64"/>
    </row>
    <row r="14" spans="1:11" ht="24" customHeight="1" x14ac:dyDescent="0.2">
      <c r="A14" s="7" t="s">
        <v>80</v>
      </c>
      <c r="B14" s="7" t="s">
        <v>56</v>
      </c>
      <c r="C14" s="8" t="s">
        <v>58</v>
      </c>
      <c r="D14" s="52"/>
      <c r="E14" s="52"/>
      <c r="F14" s="8" t="s">
        <v>70</v>
      </c>
      <c r="G14" s="9" t="s">
        <v>59</v>
      </c>
      <c r="H14" s="10">
        <v>46188</v>
      </c>
      <c r="I14" s="11" t="s">
        <v>60</v>
      </c>
      <c r="J14" s="11" t="s">
        <v>81</v>
      </c>
      <c r="K14" s="11" t="s">
        <v>82</v>
      </c>
    </row>
    <row r="15" spans="1:11" ht="19.5" customHeight="1" x14ac:dyDescent="0.2">
      <c r="A15" s="67" t="s">
        <v>83</v>
      </c>
      <c r="B15" s="63"/>
      <c r="C15" s="63"/>
      <c r="D15" s="63"/>
      <c r="E15" s="63"/>
      <c r="F15" s="63"/>
      <c r="G15" s="63"/>
      <c r="H15" s="63"/>
      <c r="I15" s="63"/>
      <c r="J15" s="63"/>
      <c r="K15" s="64"/>
    </row>
    <row r="16" spans="1:11" ht="24" customHeight="1" x14ac:dyDescent="0.2">
      <c r="A16" s="7" t="s">
        <v>84</v>
      </c>
      <c r="B16" s="7" t="s">
        <v>56</v>
      </c>
      <c r="C16" s="8" t="s">
        <v>65</v>
      </c>
      <c r="D16" s="52"/>
      <c r="E16" s="52"/>
      <c r="F16" s="8" t="s">
        <v>70</v>
      </c>
      <c r="G16" s="9" t="s">
        <v>59</v>
      </c>
      <c r="H16" s="10">
        <v>46189</v>
      </c>
      <c r="I16" s="11" t="s">
        <v>16</v>
      </c>
      <c r="J16" s="11" t="s">
        <v>85</v>
      </c>
      <c r="K16" s="11" t="s">
        <v>86</v>
      </c>
    </row>
    <row r="17" spans="1:11" ht="19.5" customHeight="1" x14ac:dyDescent="0.2">
      <c r="A17" s="67" t="s">
        <v>54</v>
      </c>
      <c r="B17" s="63"/>
      <c r="C17" s="63"/>
      <c r="D17" s="63"/>
      <c r="E17" s="63"/>
      <c r="F17" s="63"/>
      <c r="G17" s="63"/>
      <c r="H17" s="63"/>
      <c r="I17" s="63"/>
      <c r="J17" s="63"/>
      <c r="K17" s="64"/>
    </row>
    <row r="18" spans="1:11" ht="24" customHeight="1" x14ac:dyDescent="0.2">
      <c r="A18" s="7" t="s">
        <v>87</v>
      </c>
      <c r="B18" s="7" t="s">
        <v>88</v>
      </c>
      <c r="C18" s="8" t="s">
        <v>89</v>
      </c>
      <c r="D18" s="52"/>
      <c r="E18" s="52"/>
      <c r="F18" s="8" t="s">
        <v>90</v>
      </c>
      <c r="G18" s="9" t="s">
        <v>59</v>
      </c>
      <c r="H18" s="10">
        <v>46184</v>
      </c>
      <c r="I18" s="11" t="s">
        <v>60</v>
      </c>
      <c r="J18" s="11" t="s">
        <v>23</v>
      </c>
      <c r="K18" s="11" t="s">
        <v>24</v>
      </c>
    </row>
    <row r="19" spans="1:11" ht="19.5" customHeight="1" x14ac:dyDescent="0.2">
      <c r="A19" s="67" t="s">
        <v>63</v>
      </c>
      <c r="B19" s="63"/>
      <c r="C19" s="63"/>
      <c r="D19" s="63"/>
      <c r="E19" s="63"/>
      <c r="F19" s="63"/>
      <c r="G19" s="63"/>
      <c r="H19" s="63"/>
      <c r="I19" s="63"/>
      <c r="J19" s="63"/>
      <c r="K19" s="64"/>
    </row>
    <row r="20" spans="1:11" ht="24" customHeight="1" x14ac:dyDescent="0.2">
      <c r="A20" s="7" t="s">
        <v>91</v>
      </c>
      <c r="B20" s="7" t="s">
        <v>88</v>
      </c>
      <c r="C20" s="8" t="s">
        <v>89</v>
      </c>
      <c r="D20" s="52"/>
      <c r="E20" s="52"/>
      <c r="F20" s="8" t="s">
        <v>92</v>
      </c>
      <c r="G20" s="9" t="s">
        <v>59</v>
      </c>
      <c r="H20" s="10">
        <v>46185</v>
      </c>
      <c r="I20" s="11" t="s">
        <v>16</v>
      </c>
      <c r="J20" s="11" t="s">
        <v>93</v>
      </c>
      <c r="K20" s="11" t="s">
        <v>94</v>
      </c>
    </row>
    <row r="21" spans="1:11" ht="19.5" customHeight="1" x14ac:dyDescent="0.2">
      <c r="A21" s="67" t="s">
        <v>68</v>
      </c>
      <c r="B21" s="63"/>
      <c r="C21" s="63"/>
      <c r="D21" s="63"/>
      <c r="E21" s="63"/>
      <c r="F21" s="63"/>
      <c r="G21" s="63"/>
      <c r="H21" s="63"/>
      <c r="I21" s="63"/>
      <c r="J21" s="63"/>
      <c r="K21" s="64"/>
    </row>
    <row r="22" spans="1:11" ht="24" customHeight="1" x14ac:dyDescent="0.2">
      <c r="A22" s="7" t="s">
        <v>95</v>
      </c>
      <c r="B22" s="7" t="s">
        <v>88</v>
      </c>
      <c r="C22" s="8" t="s">
        <v>89</v>
      </c>
      <c r="D22" s="52"/>
      <c r="E22" s="52"/>
      <c r="F22" s="8" t="s">
        <v>96</v>
      </c>
      <c r="G22" s="9" t="s">
        <v>59</v>
      </c>
      <c r="H22" s="10">
        <v>46186</v>
      </c>
      <c r="I22" s="11" t="s">
        <v>71</v>
      </c>
      <c r="J22" s="11" t="s">
        <v>61</v>
      </c>
      <c r="K22" s="11" t="s">
        <v>62</v>
      </c>
    </row>
    <row r="23" spans="1:11" ht="19.5" customHeight="1" x14ac:dyDescent="0.2">
      <c r="A23" s="67" t="s">
        <v>74</v>
      </c>
      <c r="B23" s="63"/>
      <c r="C23" s="63"/>
      <c r="D23" s="63"/>
      <c r="E23" s="63"/>
      <c r="F23" s="63"/>
      <c r="G23" s="63"/>
      <c r="H23" s="63"/>
      <c r="I23" s="63"/>
      <c r="J23" s="63"/>
      <c r="K23" s="64"/>
    </row>
    <row r="24" spans="1:11" ht="24" customHeight="1" x14ac:dyDescent="0.2">
      <c r="A24" s="7" t="s">
        <v>97</v>
      </c>
      <c r="B24" s="7" t="s">
        <v>88</v>
      </c>
      <c r="C24" s="8" t="s">
        <v>90</v>
      </c>
      <c r="D24" s="52"/>
      <c r="E24" s="52"/>
      <c r="F24" s="8" t="s">
        <v>92</v>
      </c>
      <c r="G24" s="9" t="s">
        <v>59</v>
      </c>
      <c r="H24" s="10">
        <v>46187</v>
      </c>
      <c r="I24" s="11" t="s">
        <v>76</v>
      </c>
      <c r="J24" s="11" t="s">
        <v>66</v>
      </c>
      <c r="K24" s="11" t="s">
        <v>67</v>
      </c>
    </row>
    <row r="25" spans="1:11" ht="19.5" customHeight="1" x14ac:dyDescent="0.2">
      <c r="A25" s="67" t="s">
        <v>79</v>
      </c>
      <c r="B25" s="63"/>
      <c r="C25" s="63"/>
      <c r="D25" s="63"/>
      <c r="E25" s="63"/>
      <c r="F25" s="63"/>
      <c r="G25" s="63"/>
      <c r="H25" s="63"/>
      <c r="I25" s="63"/>
      <c r="J25" s="63"/>
      <c r="K25" s="64"/>
    </row>
    <row r="26" spans="1:11" ht="24" customHeight="1" x14ac:dyDescent="0.2">
      <c r="A26" s="7" t="s">
        <v>98</v>
      </c>
      <c r="B26" s="7" t="s">
        <v>88</v>
      </c>
      <c r="C26" s="8" t="s">
        <v>90</v>
      </c>
      <c r="D26" s="52"/>
      <c r="E26" s="52"/>
      <c r="F26" s="8" t="s">
        <v>96</v>
      </c>
      <c r="G26" s="9" t="s">
        <v>59</v>
      </c>
      <c r="H26" s="10">
        <v>46188</v>
      </c>
      <c r="I26" s="11" t="s">
        <v>60</v>
      </c>
      <c r="J26" s="11" t="s">
        <v>72</v>
      </c>
      <c r="K26" s="11" t="s">
        <v>73</v>
      </c>
    </row>
    <row r="27" spans="1:11" ht="19.5" customHeight="1" x14ac:dyDescent="0.2">
      <c r="A27" s="67" t="s">
        <v>83</v>
      </c>
      <c r="B27" s="63"/>
      <c r="C27" s="63"/>
      <c r="D27" s="63"/>
      <c r="E27" s="63"/>
      <c r="F27" s="63"/>
      <c r="G27" s="63"/>
      <c r="H27" s="63"/>
      <c r="I27" s="63"/>
      <c r="J27" s="63"/>
      <c r="K27" s="64"/>
    </row>
    <row r="28" spans="1:11" ht="24" customHeight="1" x14ac:dyDescent="0.2">
      <c r="A28" s="7" t="s">
        <v>99</v>
      </c>
      <c r="B28" s="7" t="s">
        <v>88</v>
      </c>
      <c r="C28" s="8" t="s">
        <v>92</v>
      </c>
      <c r="D28" s="52"/>
      <c r="E28" s="52"/>
      <c r="F28" s="8" t="s">
        <v>96</v>
      </c>
      <c r="G28" s="9" t="s">
        <v>59</v>
      </c>
      <c r="H28" s="10">
        <v>46189</v>
      </c>
      <c r="I28" s="11" t="s">
        <v>16</v>
      </c>
      <c r="J28" s="11" t="s">
        <v>77</v>
      </c>
      <c r="K28" s="11" t="s">
        <v>78</v>
      </c>
    </row>
    <row r="29" spans="1:11" ht="19.5" customHeight="1" x14ac:dyDescent="0.2">
      <c r="A29" s="67" t="s">
        <v>54</v>
      </c>
      <c r="B29" s="63"/>
      <c r="C29" s="63"/>
      <c r="D29" s="63"/>
      <c r="E29" s="63"/>
      <c r="F29" s="63"/>
      <c r="G29" s="63"/>
      <c r="H29" s="63"/>
      <c r="I29" s="63"/>
      <c r="J29" s="63"/>
      <c r="K29" s="64"/>
    </row>
    <row r="30" spans="1:11" ht="24" customHeight="1" x14ac:dyDescent="0.2">
      <c r="A30" s="7" t="s">
        <v>100</v>
      </c>
      <c r="B30" s="7" t="s">
        <v>101</v>
      </c>
      <c r="C30" s="8" t="s">
        <v>102</v>
      </c>
      <c r="D30" s="52"/>
      <c r="E30" s="52"/>
      <c r="F30" s="8" t="s">
        <v>103</v>
      </c>
      <c r="G30" s="9" t="s">
        <v>59</v>
      </c>
      <c r="H30" s="10">
        <v>46184</v>
      </c>
      <c r="I30" s="11" t="s">
        <v>60</v>
      </c>
      <c r="J30" s="11" t="s">
        <v>81</v>
      </c>
      <c r="K30" s="11" t="s">
        <v>82</v>
      </c>
    </row>
    <row r="31" spans="1:11" ht="19.5" customHeight="1" x14ac:dyDescent="0.2">
      <c r="A31" s="67" t="s">
        <v>63</v>
      </c>
      <c r="B31" s="63"/>
      <c r="C31" s="63"/>
      <c r="D31" s="63"/>
      <c r="E31" s="63"/>
      <c r="F31" s="63"/>
      <c r="G31" s="63"/>
      <c r="H31" s="63"/>
      <c r="I31" s="63"/>
      <c r="J31" s="63"/>
      <c r="K31" s="64"/>
    </row>
    <row r="32" spans="1:11" ht="24" customHeight="1" x14ac:dyDescent="0.2">
      <c r="A32" s="7" t="s">
        <v>104</v>
      </c>
      <c r="B32" s="7" t="s">
        <v>101</v>
      </c>
      <c r="C32" s="8" t="s">
        <v>102</v>
      </c>
      <c r="D32" s="52"/>
      <c r="E32" s="52"/>
      <c r="F32" s="8" t="s">
        <v>105</v>
      </c>
      <c r="G32" s="9" t="s">
        <v>59</v>
      </c>
      <c r="H32" s="10">
        <v>46185</v>
      </c>
      <c r="I32" s="11" t="s">
        <v>16</v>
      </c>
      <c r="J32" s="11" t="s">
        <v>85</v>
      </c>
      <c r="K32" s="11" t="s">
        <v>86</v>
      </c>
    </row>
    <row r="33" spans="1:11" ht="19.5" customHeight="1" x14ac:dyDescent="0.2">
      <c r="A33" s="67" t="s">
        <v>68</v>
      </c>
      <c r="B33" s="63"/>
      <c r="C33" s="63"/>
      <c r="D33" s="63"/>
      <c r="E33" s="63"/>
      <c r="F33" s="63"/>
      <c r="G33" s="63"/>
      <c r="H33" s="63"/>
      <c r="I33" s="63"/>
      <c r="J33" s="63"/>
      <c r="K33" s="64"/>
    </row>
    <row r="34" spans="1:11" ht="24" customHeight="1" x14ac:dyDescent="0.2">
      <c r="A34" s="7" t="s">
        <v>106</v>
      </c>
      <c r="B34" s="7" t="s">
        <v>101</v>
      </c>
      <c r="C34" s="8" t="s">
        <v>102</v>
      </c>
      <c r="D34" s="52"/>
      <c r="E34" s="52"/>
      <c r="F34" s="8" t="s">
        <v>107</v>
      </c>
      <c r="G34" s="9" t="s">
        <v>59</v>
      </c>
      <c r="H34" s="10">
        <v>46186</v>
      </c>
      <c r="I34" s="11" t="s">
        <v>71</v>
      </c>
      <c r="J34" s="11" t="s">
        <v>23</v>
      </c>
      <c r="K34" s="11" t="s">
        <v>24</v>
      </c>
    </row>
    <row r="35" spans="1:11" ht="19.5" customHeight="1" x14ac:dyDescent="0.2">
      <c r="A35" s="67" t="s">
        <v>74</v>
      </c>
      <c r="B35" s="63"/>
      <c r="C35" s="63"/>
      <c r="D35" s="63"/>
      <c r="E35" s="63"/>
      <c r="F35" s="63"/>
      <c r="G35" s="63"/>
      <c r="H35" s="63"/>
      <c r="I35" s="63"/>
      <c r="J35" s="63"/>
      <c r="K35" s="64"/>
    </row>
    <row r="36" spans="1:11" ht="24" customHeight="1" x14ac:dyDescent="0.2">
      <c r="A36" s="7" t="s">
        <v>108</v>
      </c>
      <c r="B36" s="7" t="s">
        <v>101</v>
      </c>
      <c r="C36" s="8" t="s">
        <v>103</v>
      </c>
      <c r="D36" s="52"/>
      <c r="E36" s="52"/>
      <c r="F36" s="8" t="s">
        <v>105</v>
      </c>
      <c r="G36" s="9" t="s">
        <v>59</v>
      </c>
      <c r="H36" s="10">
        <v>46187</v>
      </c>
      <c r="I36" s="11" t="s">
        <v>76</v>
      </c>
      <c r="J36" s="11" t="s">
        <v>93</v>
      </c>
      <c r="K36" s="11" t="s">
        <v>94</v>
      </c>
    </row>
    <row r="37" spans="1:11" ht="19.5" customHeight="1" x14ac:dyDescent="0.2">
      <c r="A37" s="67" t="s">
        <v>79</v>
      </c>
      <c r="B37" s="63"/>
      <c r="C37" s="63"/>
      <c r="D37" s="63"/>
      <c r="E37" s="63"/>
      <c r="F37" s="63"/>
      <c r="G37" s="63"/>
      <c r="H37" s="63"/>
      <c r="I37" s="63"/>
      <c r="J37" s="63"/>
      <c r="K37" s="64"/>
    </row>
    <row r="38" spans="1:11" ht="24" customHeight="1" x14ac:dyDescent="0.2">
      <c r="A38" s="7" t="s">
        <v>109</v>
      </c>
      <c r="B38" s="7" t="s">
        <v>101</v>
      </c>
      <c r="C38" s="8" t="s">
        <v>103</v>
      </c>
      <c r="D38" s="52"/>
      <c r="E38" s="52"/>
      <c r="F38" s="8" t="s">
        <v>107</v>
      </c>
      <c r="G38" s="9" t="s">
        <v>59</v>
      </c>
      <c r="H38" s="10">
        <v>46188</v>
      </c>
      <c r="I38" s="11" t="s">
        <v>60</v>
      </c>
      <c r="J38" s="11" t="s">
        <v>61</v>
      </c>
      <c r="K38" s="11" t="s">
        <v>62</v>
      </c>
    </row>
    <row r="39" spans="1:11" ht="19.5" customHeight="1" x14ac:dyDescent="0.2">
      <c r="A39" s="67" t="s">
        <v>83</v>
      </c>
      <c r="B39" s="63"/>
      <c r="C39" s="63"/>
      <c r="D39" s="63"/>
      <c r="E39" s="63"/>
      <c r="F39" s="63"/>
      <c r="G39" s="63"/>
      <c r="H39" s="63"/>
      <c r="I39" s="63"/>
      <c r="J39" s="63"/>
      <c r="K39" s="64"/>
    </row>
    <row r="40" spans="1:11" ht="24" customHeight="1" x14ac:dyDescent="0.2">
      <c r="A40" s="7" t="s">
        <v>110</v>
      </c>
      <c r="B40" s="7" t="s">
        <v>101</v>
      </c>
      <c r="C40" s="8" t="s">
        <v>105</v>
      </c>
      <c r="D40" s="52"/>
      <c r="E40" s="52"/>
      <c r="F40" s="8" t="s">
        <v>107</v>
      </c>
      <c r="G40" s="9" t="s">
        <v>59</v>
      </c>
      <c r="H40" s="10">
        <v>46189</v>
      </c>
      <c r="I40" s="11" t="s">
        <v>16</v>
      </c>
      <c r="J40" s="11" t="s">
        <v>66</v>
      </c>
      <c r="K40" s="11" t="s">
        <v>67</v>
      </c>
    </row>
    <row r="41" spans="1:11" ht="19.5" customHeight="1" x14ac:dyDescent="0.2">
      <c r="A41" s="67" t="s">
        <v>54</v>
      </c>
      <c r="B41" s="63"/>
      <c r="C41" s="63"/>
      <c r="D41" s="63"/>
      <c r="E41" s="63"/>
      <c r="F41" s="63"/>
      <c r="G41" s="63"/>
      <c r="H41" s="63"/>
      <c r="I41" s="63"/>
      <c r="J41" s="63"/>
      <c r="K41" s="64"/>
    </row>
    <row r="42" spans="1:11" ht="24" customHeight="1" x14ac:dyDescent="0.2">
      <c r="A42" s="7" t="s">
        <v>111</v>
      </c>
      <c r="B42" s="7" t="s">
        <v>112</v>
      </c>
      <c r="C42" s="8" t="s">
        <v>113</v>
      </c>
      <c r="D42" s="52"/>
      <c r="E42" s="52"/>
      <c r="F42" s="8" t="s">
        <v>114</v>
      </c>
      <c r="G42" s="9" t="s">
        <v>59</v>
      </c>
      <c r="H42" s="10">
        <v>46184</v>
      </c>
      <c r="I42" s="11" t="s">
        <v>60</v>
      </c>
      <c r="J42" s="11" t="s">
        <v>72</v>
      </c>
      <c r="K42" s="11" t="s">
        <v>73</v>
      </c>
    </row>
    <row r="43" spans="1:11" ht="19.5" customHeight="1" x14ac:dyDescent="0.2">
      <c r="A43" s="67" t="s">
        <v>63</v>
      </c>
      <c r="B43" s="63"/>
      <c r="C43" s="63"/>
      <c r="D43" s="63"/>
      <c r="E43" s="63"/>
      <c r="F43" s="63"/>
      <c r="G43" s="63"/>
      <c r="H43" s="63"/>
      <c r="I43" s="63"/>
      <c r="J43" s="63"/>
      <c r="K43" s="64"/>
    </row>
    <row r="44" spans="1:11" ht="24" customHeight="1" x14ac:dyDescent="0.2">
      <c r="A44" s="7" t="s">
        <v>115</v>
      </c>
      <c r="B44" s="7" t="s">
        <v>112</v>
      </c>
      <c r="C44" s="8" t="s">
        <v>113</v>
      </c>
      <c r="D44" s="52"/>
      <c r="E44" s="52"/>
      <c r="F44" s="8" t="s">
        <v>116</v>
      </c>
      <c r="G44" s="9" t="s">
        <v>59</v>
      </c>
      <c r="H44" s="10">
        <v>46185</v>
      </c>
      <c r="I44" s="11" t="s">
        <v>16</v>
      </c>
      <c r="J44" s="11" t="s">
        <v>77</v>
      </c>
      <c r="K44" s="11" t="s">
        <v>78</v>
      </c>
    </row>
    <row r="45" spans="1:11" ht="19.5" customHeight="1" x14ac:dyDescent="0.2">
      <c r="A45" s="67" t="s">
        <v>68</v>
      </c>
      <c r="B45" s="63"/>
      <c r="C45" s="63"/>
      <c r="D45" s="63"/>
      <c r="E45" s="63"/>
      <c r="F45" s="63"/>
      <c r="G45" s="63"/>
      <c r="H45" s="63"/>
      <c r="I45" s="63"/>
      <c r="J45" s="63"/>
      <c r="K45" s="64"/>
    </row>
    <row r="46" spans="1:11" ht="24" customHeight="1" x14ac:dyDescent="0.2">
      <c r="A46" s="7" t="s">
        <v>117</v>
      </c>
      <c r="B46" s="7" t="s">
        <v>112</v>
      </c>
      <c r="C46" s="8" t="s">
        <v>113</v>
      </c>
      <c r="D46" s="52"/>
      <c r="E46" s="52"/>
      <c r="F46" s="8" t="s">
        <v>118</v>
      </c>
      <c r="G46" s="9" t="s">
        <v>59</v>
      </c>
      <c r="H46" s="10">
        <v>46186</v>
      </c>
      <c r="I46" s="11" t="s">
        <v>71</v>
      </c>
      <c r="J46" s="11" t="s">
        <v>81</v>
      </c>
      <c r="K46" s="11" t="s">
        <v>82</v>
      </c>
    </row>
    <row r="47" spans="1:11" ht="19.5" customHeight="1" x14ac:dyDescent="0.2">
      <c r="A47" s="67" t="s">
        <v>74</v>
      </c>
      <c r="B47" s="63"/>
      <c r="C47" s="63"/>
      <c r="D47" s="63"/>
      <c r="E47" s="63"/>
      <c r="F47" s="63"/>
      <c r="G47" s="63"/>
      <c r="H47" s="63"/>
      <c r="I47" s="63"/>
      <c r="J47" s="63"/>
      <c r="K47" s="64"/>
    </row>
    <row r="48" spans="1:11" ht="24" customHeight="1" x14ac:dyDescent="0.2">
      <c r="A48" s="7" t="s">
        <v>119</v>
      </c>
      <c r="B48" s="7" t="s">
        <v>112</v>
      </c>
      <c r="C48" s="8" t="s">
        <v>114</v>
      </c>
      <c r="D48" s="52"/>
      <c r="E48" s="52"/>
      <c r="F48" s="8" t="s">
        <v>116</v>
      </c>
      <c r="G48" s="9" t="s">
        <v>59</v>
      </c>
      <c r="H48" s="10">
        <v>46187</v>
      </c>
      <c r="I48" s="11" t="s">
        <v>76</v>
      </c>
      <c r="J48" s="11" t="s">
        <v>85</v>
      </c>
      <c r="K48" s="11" t="s">
        <v>86</v>
      </c>
    </row>
    <row r="49" spans="1:11" ht="19.5" customHeight="1" x14ac:dyDescent="0.2">
      <c r="A49" s="67" t="s">
        <v>79</v>
      </c>
      <c r="B49" s="63"/>
      <c r="C49" s="63"/>
      <c r="D49" s="63"/>
      <c r="E49" s="63"/>
      <c r="F49" s="63"/>
      <c r="G49" s="63"/>
      <c r="H49" s="63"/>
      <c r="I49" s="63"/>
      <c r="J49" s="63"/>
      <c r="K49" s="64"/>
    </row>
    <row r="50" spans="1:11" ht="24" customHeight="1" x14ac:dyDescent="0.2">
      <c r="A50" s="7" t="s">
        <v>120</v>
      </c>
      <c r="B50" s="7" t="s">
        <v>112</v>
      </c>
      <c r="C50" s="8" t="s">
        <v>114</v>
      </c>
      <c r="D50" s="52"/>
      <c r="E50" s="52"/>
      <c r="F50" s="8" t="s">
        <v>118</v>
      </c>
      <c r="G50" s="9" t="s">
        <v>59</v>
      </c>
      <c r="H50" s="10">
        <v>46188</v>
      </c>
      <c r="I50" s="11" t="s">
        <v>60</v>
      </c>
      <c r="J50" s="11" t="s">
        <v>23</v>
      </c>
      <c r="K50" s="11" t="s">
        <v>24</v>
      </c>
    </row>
    <row r="51" spans="1:11" ht="19.5" customHeight="1" x14ac:dyDescent="0.2">
      <c r="A51" s="67" t="s">
        <v>83</v>
      </c>
      <c r="B51" s="63"/>
      <c r="C51" s="63"/>
      <c r="D51" s="63"/>
      <c r="E51" s="63"/>
      <c r="F51" s="63"/>
      <c r="G51" s="63"/>
      <c r="H51" s="63"/>
      <c r="I51" s="63"/>
      <c r="J51" s="63"/>
      <c r="K51" s="64"/>
    </row>
    <row r="52" spans="1:11" ht="24" customHeight="1" x14ac:dyDescent="0.2">
      <c r="A52" s="7" t="s">
        <v>121</v>
      </c>
      <c r="B52" s="7" t="s">
        <v>112</v>
      </c>
      <c r="C52" s="8" t="s">
        <v>116</v>
      </c>
      <c r="D52" s="52"/>
      <c r="E52" s="52"/>
      <c r="F52" s="8" t="s">
        <v>118</v>
      </c>
      <c r="G52" s="9" t="s">
        <v>59</v>
      </c>
      <c r="H52" s="10">
        <v>46189</v>
      </c>
      <c r="I52" s="11" t="s">
        <v>16</v>
      </c>
      <c r="J52" s="11" t="s">
        <v>93</v>
      </c>
      <c r="K52" s="11" t="s">
        <v>94</v>
      </c>
    </row>
    <row r="53" spans="1:11" ht="19.5" customHeight="1" x14ac:dyDescent="0.2">
      <c r="A53" s="67" t="s">
        <v>54</v>
      </c>
      <c r="B53" s="63"/>
      <c r="C53" s="63"/>
      <c r="D53" s="63"/>
      <c r="E53" s="63"/>
      <c r="F53" s="63"/>
      <c r="G53" s="63"/>
      <c r="H53" s="63"/>
      <c r="I53" s="63"/>
      <c r="J53" s="63"/>
      <c r="K53" s="64"/>
    </row>
    <row r="54" spans="1:11" ht="24" customHeight="1" x14ac:dyDescent="0.2">
      <c r="A54" s="7" t="s">
        <v>122</v>
      </c>
      <c r="B54" s="7" t="s">
        <v>123</v>
      </c>
      <c r="C54" s="8" t="s">
        <v>124</v>
      </c>
      <c r="D54" s="52"/>
      <c r="E54" s="52"/>
      <c r="F54" s="8" t="s">
        <v>125</v>
      </c>
      <c r="G54" s="9" t="s">
        <v>59</v>
      </c>
      <c r="H54" s="10">
        <v>46184</v>
      </c>
      <c r="I54" s="11" t="s">
        <v>60</v>
      </c>
      <c r="J54" s="11" t="s">
        <v>61</v>
      </c>
      <c r="K54" s="11" t="s">
        <v>62</v>
      </c>
    </row>
    <row r="55" spans="1:11" ht="19.5" customHeight="1" x14ac:dyDescent="0.2">
      <c r="A55" s="67" t="s">
        <v>63</v>
      </c>
      <c r="B55" s="63"/>
      <c r="C55" s="63"/>
      <c r="D55" s="63"/>
      <c r="E55" s="63"/>
      <c r="F55" s="63"/>
      <c r="G55" s="63"/>
      <c r="H55" s="63"/>
      <c r="I55" s="63"/>
      <c r="J55" s="63"/>
      <c r="K55" s="64"/>
    </row>
    <row r="56" spans="1:11" ht="24" customHeight="1" x14ac:dyDescent="0.2">
      <c r="A56" s="7" t="s">
        <v>126</v>
      </c>
      <c r="B56" s="7" t="s">
        <v>123</v>
      </c>
      <c r="C56" s="8" t="s">
        <v>124</v>
      </c>
      <c r="D56" s="52"/>
      <c r="E56" s="52"/>
      <c r="F56" s="8" t="s">
        <v>127</v>
      </c>
      <c r="G56" s="9" t="s">
        <v>59</v>
      </c>
      <c r="H56" s="10">
        <v>46185</v>
      </c>
      <c r="I56" s="11" t="s">
        <v>16</v>
      </c>
      <c r="J56" s="11" t="s">
        <v>66</v>
      </c>
      <c r="K56" s="11" t="s">
        <v>67</v>
      </c>
    </row>
    <row r="57" spans="1:11" ht="19.5" customHeight="1" x14ac:dyDescent="0.2">
      <c r="A57" s="67" t="s">
        <v>68</v>
      </c>
      <c r="B57" s="63"/>
      <c r="C57" s="63"/>
      <c r="D57" s="63"/>
      <c r="E57" s="63"/>
      <c r="F57" s="63"/>
      <c r="G57" s="63"/>
      <c r="H57" s="63"/>
      <c r="I57" s="63"/>
      <c r="J57" s="63"/>
      <c r="K57" s="64"/>
    </row>
    <row r="58" spans="1:11" ht="24" customHeight="1" x14ac:dyDescent="0.2">
      <c r="A58" s="7" t="s">
        <v>128</v>
      </c>
      <c r="B58" s="7" t="s">
        <v>123</v>
      </c>
      <c r="C58" s="8" t="s">
        <v>124</v>
      </c>
      <c r="D58" s="52"/>
      <c r="E58" s="52"/>
      <c r="F58" s="8" t="s">
        <v>129</v>
      </c>
      <c r="G58" s="9" t="s">
        <v>59</v>
      </c>
      <c r="H58" s="10">
        <v>46186</v>
      </c>
      <c r="I58" s="11" t="s">
        <v>71</v>
      </c>
      <c r="J58" s="11" t="s">
        <v>72</v>
      </c>
      <c r="K58" s="11" t="s">
        <v>73</v>
      </c>
    </row>
    <row r="59" spans="1:11" ht="19.5" customHeight="1" x14ac:dyDescent="0.2">
      <c r="A59" s="67" t="s">
        <v>74</v>
      </c>
      <c r="B59" s="63"/>
      <c r="C59" s="63"/>
      <c r="D59" s="63"/>
      <c r="E59" s="63"/>
      <c r="F59" s="63"/>
      <c r="G59" s="63"/>
      <c r="H59" s="63"/>
      <c r="I59" s="63"/>
      <c r="J59" s="63"/>
      <c r="K59" s="64"/>
    </row>
    <row r="60" spans="1:11" ht="24" customHeight="1" x14ac:dyDescent="0.2">
      <c r="A60" s="7" t="s">
        <v>130</v>
      </c>
      <c r="B60" s="7" t="s">
        <v>123</v>
      </c>
      <c r="C60" s="8" t="s">
        <v>125</v>
      </c>
      <c r="D60" s="52"/>
      <c r="E60" s="52"/>
      <c r="F60" s="8" t="s">
        <v>127</v>
      </c>
      <c r="G60" s="9" t="s">
        <v>59</v>
      </c>
      <c r="H60" s="10">
        <v>46187</v>
      </c>
      <c r="I60" s="11" t="s">
        <v>76</v>
      </c>
      <c r="J60" s="11" t="s">
        <v>77</v>
      </c>
      <c r="K60" s="11" t="s">
        <v>78</v>
      </c>
    </row>
    <row r="61" spans="1:11" ht="19.5" customHeight="1" x14ac:dyDescent="0.2">
      <c r="A61" s="67" t="s">
        <v>79</v>
      </c>
      <c r="B61" s="63"/>
      <c r="C61" s="63"/>
      <c r="D61" s="63"/>
      <c r="E61" s="63"/>
      <c r="F61" s="63"/>
      <c r="G61" s="63"/>
      <c r="H61" s="63"/>
      <c r="I61" s="63"/>
      <c r="J61" s="63"/>
      <c r="K61" s="64"/>
    </row>
    <row r="62" spans="1:11" ht="24" customHeight="1" x14ac:dyDescent="0.2">
      <c r="A62" s="7" t="s">
        <v>131</v>
      </c>
      <c r="B62" s="7" t="s">
        <v>123</v>
      </c>
      <c r="C62" s="8" t="s">
        <v>125</v>
      </c>
      <c r="D62" s="52"/>
      <c r="E62" s="52"/>
      <c r="F62" s="8" t="s">
        <v>129</v>
      </c>
      <c r="G62" s="9" t="s">
        <v>59</v>
      </c>
      <c r="H62" s="10">
        <v>46188</v>
      </c>
      <c r="I62" s="11" t="s">
        <v>60</v>
      </c>
      <c r="J62" s="11" t="s">
        <v>81</v>
      </c>
      <c r="K62" s="11" t="s">
        <v>82</v>
      </c>
    </row>
    <row r="63" spans="1:11" ht="19.5" customHeight="1" x14ac:dyDescent="0.2">
      <c r="A63" s="67" t="s">
        <v>83</v>
      </c>
      <c r="B63" s="63"/>
      <c r="C63" s="63"/>
      <c r="D63" s="63"/>
      <c r="E63" s="63"/>
      <c r="F63" s="63"/>
      <c r="G63" s="63"/>
      <c r="H63" s="63"/>
      <c r="I63" s="63"/>
      <c r="J63" s="63"/>
      <c r="K63" s="64"/>
    </row>
    <row r="64" spans="1:11" ht="24" customHeight="1" x14ac:dyDescent="0.2">
      <c r="A64" s="7" t="s">
        <v>132</v>
      </c>
      <c r="B64" s="7" t="s">
        <v>123</v>
      </c>
      <c r="C64" s="8" t="s">
        <v>127</v>
      </c>
      <c r="D64" s="52"/>
      <c r="E64" s="52"/>
      <c r="F64" s="8" t="s">
        <v>129</v>
      </c>
      <c r="G64" s="9" t="s">
        <v>59</v>
      </c>
      <c r="H64" s="10">
        <v>46189</v>
      </c>
      <c r="I64" s="11" t="s">
        <v>16</v>
      </c>
      <c r="J64" s="11" t="s">
        <v>85</v>
      </c>
      <c r="K64" s="11" t="s">
        <v>86</v>
      </c>
    </row>
    <row r="65" spans="1:11" ht="19.5" customHeight="1" x14ac:dyDescent="0.2">
      <c r="A65" s="67" t="s">
        <v>54</v>
      </c>
      <c r="B65" s="63"/>
      <c r="C65" s="63"/>
      <c r="D65" s="63"/>
      <c r="E65" s="63"/>
      <c r="F65" s="63"/>
      <c r="G65" s="63"/>
      <c r="H65" s="63"/>
      <c r="I65" s="63"/>
      <c r="J65" s="63"/>
      <c r="K65" s="64"/>
    </row>
    <row r="66" spans="1:11" ht="24" customHeight="1" x14ac:dyDescent="0.2">
      <c r="A66" s="7" t="s">
        <v>133</v>
      </c>
      <c r="B66" s="7" t="s">
        <v>134</v>
      </c>
      <c r="C66" s="8" t="s">
        <v>135</v>
      </c>
      <c r="D66" s="52"/>
      <c r="E66" s="52"/>
      <c r="F66" s="8" t="s">
        <v>136</v>
      </c>
      <c r="G66" s="9" t="s">
        <v>59</v>
      </c>
      <c r="H66" s="10">
        <v>46184</v>
      </c>
      <c r="I66" s="11" t="s">
        <v>60</v>
      </c>
      <c r="J66" s="11" t="s">
        <v>23</v>
      </c>
      <c r="K66" s="11" t="s">
        <v>24</v>
      </c>
    </row>
    <row r="67" spans="1:11" ht="19.5" customHeight="1" x14ac:dyDescent="0.2">
      <c r="A67" s="67" t="s">
        <v>63</v>
      </c>
      <c r="B67" s="63"/>
      <c r="C67" s="63"/>
      <c r="D67" s="63"/>
      <c r="E67" s="63"/>
      <c r="F67" s="63"/>
      <c r="G67" s="63"/>
      <c r="H67" s="63"/>
      <c r="I67" s="63"/>
      <c r="J67" s="63"/>
      <c r="K67" s="64"/>
    </row>
    <row r="68" spans="1:11" ht="24" customHeight="1" x14ac:dyDescent="0.2">
      <c r="A68" s="7" t="s">
        <v>137</v>
      </c>
      <c r="B68" s="7" t="s">
        <v>134</v>
      </c>
      <c r="C68" s="8" t="s">
        <v>135</v>
      </c>
      <c r="D68" s="52"/>
      <c r="E68" s="52"/>
      <c r="F68" s="8" t="s">
        <v>138</v>
      </c>
      <c r="G68" s="9" t="s">
        <v>59</v>
      </c>
      <c r="H68" s="10">
        <v>46185</v>
      </c>
      <c r="I68" s="11" t="s">
        <v>16</v>
      </c>
      <c r="J68" s="11" t="s">
        <v>93</v>
      </c>
      <c r="K68" s="11" t="s">
        <v>94</v>
      </c>
    </row>
    <row r="69" spans="1:11" ht="19.5" customHeight="1" x14ac:dyDescent="0.2">
      <c r="A69" s="67" t="s">
        <v>68</v>
      </c>
      <c r="B69" s="63"/>
      <c r="C69" s="63"/>
      <c r="D69" s="63"/>
      <c r="E69" s="63"/>
      <c r="F69" s="63"/>
      <c r="G69" s="63"/>
      <c r="H69" s="63"/>
      <c r="I69" s="63"/>
      <c r="J69" s="63"/>
      <c r="K69" s="64"/>
    </row>
    <row r="70" spans="1:11" ht="24" customHeight="1" x14ac:dyDescent="0.2">
      <c r="A70" s="7" t="s">
        <v>139</v>
      </c>
      <c r="B70" s="7" t="s">
        <v>134</v>
      </c>
      <c r="C70" s="8" t="s">
        <v>135</v>
      </c>
      <c r="D70" s="52"/>
      <c r="E70" s="52"/>
      <c r="F70" s="8" t="s">
        <v>140</v>
      </c>
      <c r="G70" s="9" t="s">
        <v>59</v>
      </c>
      <c r="H70" s="10">
        <v>46186</v>
      </c>
      <c r="I70" s="11" t="s">
        <v>71</v>
      </c>
      <c r="J70" s="11" t="s">
        <v>61</v>
      </c>
      <c r="K70" s="11" t="s">
        <v>62</v>
      </c>
    </row>
    <row r="71" spans="1:11" ht="19.5" customHeight="1" x14ac:dyDescent="0.2">
      <c r="A71" s="67" t="s">
        <v>74</v>
      </c>
      <c r="B71" s="63"/>
      <c r="C71" s="63"/>
      <c r="D71" s="63"/>
      <c r="E71" s="63"/>
      <c r="F71" s="63"/>
      <c r="G71" s="63"/>
      <c r="H71" s="63"/>
      <c r="I71" s="63"/>
      <c r="J71" s="63"/>
      <c r="K71" s="64"/>
    </row>
    <row r="72" spans="1:11" ht="24" customHeight="1" x14ac:dyDescent="0.2">
      <c r="A72" s="7" t="s">
        <v>141</v>
      </c>
      <c r="B72" s="7" t="s">
        <v>134</v>
      </c>
      <c r="C72" s="8" t="s">
        <v>136</v>
      </c>
      <c r="D72" s="52"/>
      <c r="E72" s="52"/>
      <c r="F72" s="8" t="s">
        <v>138</v>
      </c>
      <c r="G72" s="9" t="s">
        <v>59</v>
      </c>
      <c r="H72" s="10">
        <v>46187</v>
      </c>
      <c r="I72" s="11" t="s">
        <v>76</v>
      </c>
      <c r="J72" s="11" t="s">
        <v>66</v>
      </c>
      <c r="K72" s="11" t="s">
        <v>67</v>
      </c>
    </row>
    <row r="73" spans="1:11" ht="19.5" customHeight="1" x14ac:dyDescent="0.2">
      <c r="A73" s="67" t="s">
        <v>79</v>
      </c>
      <c r="B73" s="63"/>
      <c r="C73" s="63"/>
      <c r="D73" s="63"/>
      <c r="E73" s="63"/>
      <c r="F73" s="63"/>
      <c r="G73" s="63"/>
      <c r="H73" s="63"/>
      <c r="I73" s="63"/>
      <c r="J73" s="63"/>
      <c r="K73" s="64"/>
    </row>
    <row r="74" spans="1:11" ht="24" customHeight="1" x14ac:dyDescent="0.2">
      <c r="A74" s="7" t="s">
        <v>142</v>
      </c>
      <c r="B74" s="7" t="s">
        <v>134</v>
      </c>
      <c r="C74" s="8" t="s">
        <v>136</v>
      </c>
      <c r="D74" s="52"/>
      <c r="E74" s="52"/>
      <c r="F74" s="8" t="s">
        <v>140</v>
      </c>
      <c r="G74" s="9" t="s">
        <v>59</v>
      </c>
      <c r="H74" s="10">
        <v>46188</v>
      </c>
      <c r="I74" s="11" t="s">
        <v>60</v>
      </c>
      <c r="J74" s="11" t="s">
        <v>72</v>
      </c>
      <c r="K74" s="11" t="s">
        <v>73</v>
      </c>
    </row>
    <row r="75" spans="1:11" ht="19.5" customHeight="1" x14ac:dyDescent="0.2">
      <c r="A75" s="67" t="s">
        <v>83</v>
      </c>
      <c r="B75" s="63"/>
      <c r="C75" s="63"/>
      <c r="D75" s="63"/>
      <c r="E75" s="63"/>
      <c r="F75" s="63"/>
      <c r="G75" s="63"/>
      <c r="H75" s="63"/>
      <c r="I75" s="63"/>
      <c r="J75" s="63"/>
      <c r="K75" s="64"/>
    </row>
    <row r="76" spans="1:11" ht="24" customHeight="1" x14ac:dyDescent="0.2">
      <c r="A76" s="7" t="s">
        <v>143</v>
      </c>
      <c r="B76" s="7" t="s">
        <v>134</v>
      </c>
      <c r="C76" s="8" t="s">
        <v>138</v>
      </c>
      <c r="D76" s="52"/>
      <c r="E76" s="52"/>
      <c r="F76" s="8" t="s">
        <v>140</v>
      </c>
      <c r="G76" s="9" t="s">
        <v>59</v>
      </c>
      <c r="H76" s="10">
        <v>46189</v>
      </c>
      <c r="I76" s="11" t="s">
        <v>16</v>
      </c>
      <c r="J76" s="11" t="s">
        <v>77</v>
      </c>
      <c r="K76" s="11" t="s">
        <v>78</v>
      </c>
    </row>
    <row r="77" spans="1:11" ht="19.5" customHeight="1" x14ac:dyDescent="0.2">
      <c r="A77" s="67" t="s">
        <v>54</v>
      </c>
      <c r="B77" s="63"/>
      <c r="C77" s="63"/>
      <c r="D77" s="63"/>
      <c r="E77" s="63"/>
      <c r="F77" s="63"/>
      <c r="G77" s="63"/>
      <c r="H77" s="63"/>
      <c r="I77" s="63"/>
      <c r="J77" s="63"/>
      <c r="K77" s="64"/>
    </row>
    <row r="78" spans="1:11" ht="24" customHeight="1" x14ac:dyDescent="0.2">
      <c r="A78" s="7" t="s">
        <v>144</v>
      </c>
      <c r="B78" s="7" t="s">
        <v>145</v>
      </c>
      <c r="C78" s="8" t="s">
        <v>146</v>
      </c>
      <c r="D78" s="52"/>
      <c r="E78" s="52"/>
      <c r="F78" s="8" t="s">
        <v>147</v>
      </c>
      <c r="G78" s="9" t="s">
        <v>59</v>
      </c>
      <c r="H78" s="10">
        <v>46184</v>
      </c>
      <c r="I78" s="11" t="s">
        <v>60</v>
      </c>
      <c r="J78" s="11" t="s">
        <v>81</v>
      </c>
      <c r="K78" s="11" t="s">
        <v>82</v>
      </c>
    </row>
    <row r="79" spans="1:11" ht="19.5" customHeight="1" x14ac:dyDescent="0.2">
      <c r="A79" s="67" t="s">
        <v>63</v>
      </c>
      <c r="B79" s="63"/>
      <c r="C79" s="63"/>
      <c r="D79" s="63"/>
      <c r="E79" s="63"/>
      <c r="F79" s="63"/>
      <c r="G79" s="63"/>
      <c r="H79" s="63"/>
      <c r="I79" s="63"/>
      <c r="J79" s="63"/>
      <c r="K79" s="64"/>
    </row>
    <row r="80" spans="1:11" ht="24" customHeight="1" x14ac:dyDescent="0.2">
      <c r="A80" s="7" t="s">
        <v>148</v>
      </c>
      <c r="B80" s="7" t="s">
        <v>145</v>
      </c>
      <c r="C80" s="8" t="s">
        <v>146</v>
      </c>
      <c r="D80" s="52"/>
      <c r="E80" s="52"/>
      <c r="F80" s="8" t="s">
        <v>149</v>
      </c>
      <c r="G80" s="9" t="s">
        <v>59</v>
      </c>
      <c r="H80" s="10">
        <v>46185</v>
      </c>
      <c r="I80" s="11" t="s">
        <v>16</v>
      </c>
      <c r="J80" s="11" t="s">
        <v>85</v>
      </c>
      <c r="K80" s="11" t="s">
        <v>86</v>
      </c>
    </row>
    <row r="81" spans="1:11" ht="19.5" customHeight="1" x14ac:dyDescent="0.2">
      <c r="A81" s="67" t="s">
        <v>68</v>
      </c>
      <c r="B81" s="63"/>
      <c r="C81" s="63"/>
      <c r="D81" s="63"/>
      <c r="E81" s="63"/>
      <c r="F81" s="63"/>
      <c r="G81" s="63"/>
      <c r="H81" s="63"/>
      <c r="I81" s="63"/>
      <c r="J81" s="63"/>
      <c r="K81" s="64"/>
    </row>
    <row r="82" spans="1:11" ht="24" customHeight="1" x14ac:dyDescent="0.2">
      <c r="A82" s="7" t="s">
        <v>150</v>
      </c>
      <c r="B82" s="7" t="s">
        <v>145</v>
      </c>
      <c r="C82" s="8" t="s">
        <v>146</v>
      </c>
      <c r="D82" s="52"/>
      <c r="E82" s="52"/>
      <c r="F82" s="8" t="s">
        <v>151</v>
      </c>
      <c r="G82" s="9" t="s">
        <v>59</v>
      </c>
      <c r="H82" s="10">
        <v>46186</v>
      </c>
      <c r="I82" s="11" t="s">
        <v>71</v>
      </c>
      <c r="J82" s="11" t="s">
        <v>23</v>
      </c>
      <c r="K82" s="11" t="s">
        <v>24</v>
      </c>
    </row>
    <row r="83" spans="1:11" ht="19.5" customHeight="1" x14ac:dyDescent="0.2">
      <c r="A83" s="67" t="s">
        <v>74</v>
      </c>
      <c r="B83" s="63"/>
      <c r="C83" s="63"/>
      <c r="D83" s="63"/>
      <c r="E83" s="63"/>
      <c r="F83" s="63"/>
      <c r="G83" s="63"/>
      <c r="H83" s="63"/>
      <c r="I83" s="63"/>
      <c r="J83" s="63"/>
      <c r="K83" s="64"/>
    </row>
    <row r="84" spans="1:11" ht="24" customHeight="1" x14ac:dyDescent="0.2">
      <c r="A84" s="7" t="s">
        <v>152</v>
      </c>
      <c r="B84" s="7" t="s">
        <v>145</v>
      </c>
      <c r="C84" s="8" t="s">
        <v>147</v>
      </c>
      <c r="D84" s="52"/>
      <c r="E84" s="52"/>
      <c r="F84" s="8" t="s">
        <v>149</v>
      </c>
      <c r="G84" s="9" t="s">
        <v>59</v>
      </c>
      <c r="H84" s="10">
        <v>46187</v>
      </c>
      <c r="I84" s="11" t="s">
        <v>76</v>
      </c>
      <c r="J84" s="11" t="s">
        <v>93</v>
      </c>
      <c r="K84" s="11" t="s">
        <v>94</v>
      </c>
    </row>
    <row r="85" spans="1:11" ht="19.5" customHeight="1" x14ac:dyDescent="0.2">
      <c r="A85" s="67" t="s">
        <v>79</v>
      </c>
      <c r="B85" s="63"/>
      <c r="C85" s="63"/>
      <c r="D85" s="63"/>
      <c r="E85" s="63"/>
      <c r="F85" s="63"/>
      <c r="G85" s="63"/>
      <c r="H85" s="63"/>
      <c r="I85" s="63"/>
      <c r="J85" s="63"/>
      <c r="K85" s="64"/>
    </row>
    <row r="86" spans="1:11" ht="24" customHeight="1" x14ac:dyDescent="0.2">
      <c r="A86" s="7" t="s">
        <v>153</v>
      </c>
      <c r="B86" s="7" t="s">
        <v>145</v>
      </c>
      <c r="C86" s="8" t="s">
        <v>147</v>
      </c>
      <c r="D86" s="52"/>
      <c r="E86" s="52"/>
      <c r="F86" s="8" t="s">
        <v>151</v>
      </c>
      <c r="G86" s="9" t="s">
        <v>59</v>
      </c>
      <c r="H86" s="10">
        <v>46188</v>
      </c>
      <c r="I86" s="11" t="s">
        <v>60</v>
      </c>
      <c r="J86" s="11" t="s">
        <v>61</v>
      </c>
      <c r="K86" s="11" t="s">
        <v>62</v>
      </c>
    </row>
    <row r="87" spans="1:11" ht="19.5" customHeight="1" x14ac:dyDescent="0.2">
      <c r="A87" s="67" t="s">
        <v>83</v>
      </c>
      <c r="B87" s="63"/>
      <c r="C87" s="63"/>
      <c r="D87" s="63"/>
      <c r="E87" s="63"/>
      <c r="F87" s="63"/>
      <c r="G87" s="63"/>
      <c r="H87" s="63"/>
      <c r="I87" s="63"/>
      <c r="J87" s="63"/>
      <c r="K87" s="64"/>
    </row>
    <row r="88" spans="1:11" ht="24" customHeight="1" x14ac:dyDescent="0.2">
      <c r="A88" s="7" t="s">
        <v>154</v>
      </c>
      <c r="B88" s="7" t="s">
        <v>145</v>
      </c>
      <c r="C88" s="8" t="s">
        <v>149</v>
      </c>
      <c r="D88" s="52"/>
      <c r="E88" s="52"/>
      <c r="F88" s="8" t="s">
        <v>151</v>
      </c>
      <c r="G88" s="9" t="s">
        <v>59</v>
      </c>
      <c r="H88" s="10">
        <v>46189</v>
      </c>
      <c r="I88" s="11" t="s">
        <v>16</v>
      </c>
      <c r="J88" s="11" t="s">
        <v>66</v>
      </c>
      <c r="K88" s="11" t="s">
        <v>67</v>
      </c>
    </row>
    <row r="89" spans="1:11" ht="19.5" customHeight="1" x14ac:dyDescent="0.2">
      <c r="A89" s="67" t="s">
        <v>54</v>
      </c>
      <c r="B89" s="63"/>
      <c r="C89" s="63"/>
      <c r="D89" s="63"/>
      <c r="E89" s="63"/>
      <c r="F89" s="63"/>
      <c r="G89" s="63"/>
      <c r="H89" s="63"/>
      <c r="I89" s="63"/>
      <c r="J89" s="63"/>
      <c r="K89" s="64"/>
    </row>
    <row r="90" spans="1:11" ht="24" customHeight="1" x14ac:dyDescent="0.2">
      <c r="A90" s="7" t="s">
        <v>155</v>
      </c>
      <c r="B90" s="7" t="s">
        <v>156</v>
      </c>
      <c r="C90" s="8" t="s">
        <v>157</v>
      </c>
      <c r="D90" s="52"/>
      <c r="E90" s="52"/>
      <c r="F90" s="8" t="s">
        <v>158</v>
      </c>
      <c r="G90" s="9" t="s">
        <v>59</v>
      </c>
      <c r="H90" s="10">
        <v>46184</v>
      </c>
      <c r="I90" s="11" t="s">
        <v>60</v>
      </c>
      <c r="J90" s="11" t="s">
        <v>72</v>
      </c>
      <c r="K90" s="11" t="s">
        <v>73</v>
      </c>
    </row>
    <row r="91" spans="1:11" ht="19.5" customHeight="1" x14ac:dyDescent="0.2">
      <c r="A91" s="67" t="s">
        <v>63</v>
      </c>
      <c r="B91" s="63"/>
      <c r="C91" s="63"/>
      <c r="D91" s="63"/>
      <c r="E91" s="63"/>
      <c r="F91" s="63"/>
      <c r="G91" s="63"/>
      <c r="H91" s="63"/>
      <c r="I91" s="63"/>
      <c r="J91" s="63"/>
      <c r="K91" s="64"/>
    </row>
    <row r="92" spans="1:11" ht="24" customHeight="1" x14ac:dyDescent="0.2">
      <c r="A92" s="7" t="s">
        <v>159</v>
      </c>
      <c r="B92" s="7" t="s">
        <v>156</v>
      </c>
      <c r="C92" s="8" t="s">
        <v>157</v>
      </c>
      <c r="D92" s="52"/>
      <c r="E92" s="52"/>
      <c r="F92" s="8" t="s">
        <v>160</v>
      </c>
      <c r="G92" s="9" t="s">
        <v>59</v>
      </c>
      <c r="H92" s="10">
        <v>46185</v>
      </c>
      <c r="I92" s="11" t="s">
        <v>16</v>
      </c>
      <c r="J92" s="11" t="s">
        <v>77</v>
      </c>
      <c r="K92" s="11" t="s">
        <v>78</v>
      </c>
    </row>
    <row r="93" spans="1:11" ht="19.5" customHeight="1" x14ac:dyDescent="0.2">
      <c r="A93" s="67" t="s">
        <v>68</v>
      </c>
      <c r="B93" s="63"/>
      <c r="C93" s="63"/>
      <c r="D93" s="63"/>
      <c r="E93" s="63"/>
      <c r="F93" s="63"/>
      <c r="G93" s="63"/>
      <c r="H93" s="63"/>
      <c r="I93" s="63"/>
      <c r="J93" s="63"/>
      <c r="K93" s="64"/>
    </row>
    <row r="94" spans="1:11" ht="24" customHeight="1" x14ac:dyDescent="0.2">
      <c r="A94" s="7" t="s">
        <v>161</v>
      </c>
      <c r="B94" s="7" t="s">
        <v>156</v>
      </c>
      <c r="C94" s="8" t="s">
        <v>157</v>
      </c>
      <c r="D94" s="52"/>
      <c r="E94" s="52"/>
      <c r="F94" s="8" t="s">
        <v>162</v>
      </c>
      <c r="G94" s="9" t="s">
        <v>59</v>
      </c>
      <c r="H94" s="10">
        <v>46186</v>
      </c>
      <c r="I94" s="11" t="s">
        <v>71</v>
      </c>
      <c r="J94" s="11" t="s">
        <v>81</v>
      </c>
      <c r="K94" s="11" t="s">
        <v>82</v>
      </c>
    </row>
    <row r="95" spans="1:11" ht="19.5" customHeight="1" x14ac:dyDescent="0.2">
      <c r="A95" s="67" t="s">
        <v>74</v>
      </c>
      <c r="B95" s="63"/>
      <c r="C95" s="63"/>
      <c r="D95" s="63"/>
      <c r="E95" s="63"/>
      <c r="F95" s="63"/>
      <c r="G95" s="63"/>
      <c r="H95" s="63"/>
      <c r="I95" s="63"/>
      <c r="J95" s="63"/>
      <c r="K95" s="64"/>
    </row>
    <row r="96" spans="1:11" ht="24" customHeight="1" x14ac:dyDescent="0.2">
      <c r="A96" s="7" t="s">
        <v>163</v>
      </c>
      <c r="B96" s="7" t="s">
        <v>156</v>
      </c>
      <c r="C96" s="8" t="s">
        <v>158</v>
      </c>
      <c r="D96" s="52"/>
      <c r="E96" s="52"/>
      <c r="F96" s="8" t="s">
        <v>160</v>
      </c>
      <c r="G96" s="9" t="s">
        <v>59</v>
      </c>
      <c r="H96" s="10">
        <v>46187</v>
      </c>
      <c r="I96" s="11" t="s">
        <v>76</v>
      </c>
      <c r="J96" s="11" t="s">
        <v>85</v>
      </c>
      <c r="K96" s="11" t="s">
        <v>86</v>
      </c>
    </row>
    <row r="97" spans="1:11" ht="19.5" customHeight="1" x14ac:dyDescent="0.2">
      <c r="A97" s="67" t="s">
        <v>79</v>
      </c>
      <c r="B97" s="63"/>
      <c r="C97" s="63"/>
      <c r="D97" s="63"/>
      <c r="E97" s="63"/>
      <c r="F97" s="63"/>
      <c r="G97" s="63"/>
      <c r="H97" s="63"/>
      <c r="I97" s="63"/>
      <c r="J97" s="63"/>
      <c r="K97" s="64"/>
    </row>
    <row r="98" spans="1:11" ht="24" customHeight="1" x14ac:dyDescent="0.2">
      <c r="A98" s="7" t="s">
        <v>164</v>
      </c>
      <c r="B98" s="7" t="s">
        <v>156</v>
      </c>
      <c r="C98" s="8" t="s">
        <v>158</v>
      </c>
      <c r="D98" s="52"/>
      <c r="E98" s="52"/>
      <c r="F98" s="8" t="s">
        <v>162</v>
      </c>
      <c r="G98" s="9" t="s">
        <v>59</v>
      </c>
      <c r="H98" s="10">
        <v>46188</v>
      </c>
      <c r="I98" s="11" t="s">
        <v>60</v>
      </c>
      <c r="J98" s="11" t="s">
        <v>23</v>
      </c>
      <c r="K98" s="11" t="s">
        <v>24</v>
      </c>
    </row>
    <row r="99" spans="1:11" ht="19.5" customHeight="1" x14ac:dyDescent="0.2">
      <c r="A99" s="67" t="s">
        <v>83</v>
      </c>
      <c r="B99" s="63"/>
      <c r="C99" s="63"/>
      <c r="D99" s="63"/>
      <c r="E99" s="63"/>
      <c r="F99" s="63"/>
      <c r="G99" s="63"/>
      <c r="H99" s="63"/>
      <c r="I99" s="63"/>
      <c r="J99" s="63"/>
      <c r="K99" s="64"/>
    </row>
    <row r="100" spans="1:11" ht="24" customHeight="1" x14ac:dyDescent="0.2">
      <c r="A100" s="7" t="s">
        <v>165</v>
      </c>
      <c r="B100" s="7" t="s">
        <v>156</v>
      </c>
      <c r="C100" s="8" t="s">
        <v>160</v>
      </c>
      <c r="D100" s="52"/>
      <c r="E100" s="52"/>
      <c r="F100" s="8" t="s">
        <v>162</v>
      </c>
      <c r="G100" s="9" t="s">
        <v>59</v>
      </c>
      <c r="H100" s="10">
        <v>46189</v>
      </c>
      <c r="I100" s="11" t="s">
        <v>16</v>
      </c>
      <c r="J100" s="11" t="s">
        <v>93</v>
      </c>
      <c r="K100" s="11" t="s">
        <v>94</v>
      </c>
    </row>
    <row r="101" spans="1:11" ht="19.5" customHeight="1" x14ac:dyDescent="0.2">
      <c r="A101" s="67" t="s">
        <v>54</v>
      </c>
      <c r="B101" s="63"/>
      <c r="C101" s="63"/>
      <c r="D101" s="63"/>
      <c r="E101" s="63"/>
      <c r="F101" s="63"/>
      <c r="G101" s="63"/>
      <c r="H101" s="63"/>
      <c r="I101" s="63"/>
      <c r="J101" s="63"/>
      <c r="K101" s="64"/>
    </row>
    <row r="102" spans="1:11" ht="24" customHeight="1" x14ac:dyDescent="0.2">
      <c r="A102" s="7" t="s">
        <v>166</v>
      </c>
      <c r="B102" s="7" t="s">
        <v>167</v>
      </c>
      <c r="C102" s="8" t="s">
        <v>168</v>
      </c>
      <c r="D102" s="52"/>
      <c r="E102" s="52"/>
      <c r="F102" s="8" t="s">
        <v>169</v>
      </c>
      <c r="G102" s="9" t="s">
        <v>59</v>
      </c>
      <c r="H102" s="10">
        <v>46184</v>
      </c>
      <c r="I102" s="11" t="s">
        <v>60</v>
      </c>
      <c r="J102" s="11" t="s">
        <v>61</v>
      </c>
      <c r="K102" s="11" t="s">
        <v>62</v>
      </c>
    </row>
    <row r="103" spans="1:11" ht="19.5" customHeight="1" x14ac:dyDescent="0.2">
      <c r="A103" s="67" t="s">
        <v>63</v>
      </c>
      <c r="B103" s="63"/>
      <c r="C103" s="63"/>
      <c r="D103" s="63"/>
      <c r="E103" s="63"/>
      <c r="F103" s="63"/>
      <c r="G103" s="63"/>
      <c r="H103" s="63"/>
      <c r="I103" s="63"/>
      <c r="J103" s="63"/>
      <c r="K103" s="64"/>
    </row>
    <row r="104" spans="1:11" ht="24" customHeight="1" x14ac:dyDescent="0.2">
      <c r="A104" s="7" t="s">
        <v>170</v>
      </c>
      <c r="B104" s="7" t="s">
        <v>167</v>
      </c>
      <c r="C104" s="8" t="s">
        <v>168</v>
      </c>
      <c r="D104" s="52"/>
      <c r="E104" s="52"/>
      <c r="F104" s="8" t="s">
        <v>171</v>
      </c>
      <c r="G104" s="9" t="s">
        <v>59</v>
      </c>
      <c r="H104" s="10">
        <v>46185</v>
      </c>
      <c r="I104" s="11" t="s">
        <v>16</v>
      </c>
      <c r="J104" s="11" t="s">
        <v>66</v>
      </c>
      <c r="K104" s="11" t="s">
        <v>67</v>
      </c>
    </row>
    <row r="105" spans="1:11" ht="19.5" customHeight="1" x14ac:dyDescent="0.2">
      <c r="A105" s="67" t="s">
        <v>68</v>
      </c>
      <c r="B105" s="63"/>
      <c r="C105" s="63"/>
      <c r="D105" s="63"/>
      <c r="E105" s="63"/>
      <c r="F105" s="63"/>
      <c r="G105" s="63"/>
      <c r="H105" s="63"/>
      <c r="I105" s="63"/>
      <c r="J105" s="63"/>
      <c r="K105" s="64"/>
    </row>
    <row r="106" spans="1:11" ht="24" customHeight="1" x14ac:dyDescent="0.2">
      <c r="A106" s="7" t="s">
        <v>172</v>
      </c>
      <c r="B106" s="7" t="s">
        <v>167</v>
      </c>
      <c r="C106" s="8" t="s">
        <v>168</v>
      </c>
      <c r="D106" s="52"/>
      <c r="E106" s="52"/>
      <c r="F106" s="8" t="s">
        <v>173</v>
      </c>
      <c r="G106" s="9" t="s">
        <v>59</v>
      </c>
      <c r="H106" s="10">
        <v>46186</v>
      </c>
      <c r="I106" s="11" t="s">
        <v>71</v>
      </c>
      <c r="J106" s="11" t="s">
        <v>72</v>
      </c>
      <c r="K106" s="11" t="s">
        <v>73</v>
      </c>
    </row>
    <row r="107" spans="1:11" ht="19.5" customHeight="1" x14ac:dyDescent="0.2">
      <c r="A107" s="67" t="s">
        <v>74</v>
      </c>
      <c r="B107" s="63"/>
      <c r="C107" s="63"/>
      <c r="D107" s="63"/>
      <c r="E107" s="63"/>
      <c r="F107" s="63"/>
      <c r="G107" s="63"/>
      <c r="H107" s="63"/>
      <c r="I107" s="63"/>
      <c r="J107" s="63"/>
      <c r="K107" s="64"/>
    </row>
    <row r="108" spans="1:11" ht="24" customHeight="1" x14ac:dyDescent="0.2">
      <c r="A108" s="7" t="s">
        <v>174</v>
      </c>
      <c r="B108" s="7" t="s">
        <v>167</v>
      </c>
      <c r="C108" s="8" t="s">
        <v>169</v>
      </c>
      <c r="D108" s="52"/>
      <c r="E108" s="52"/>
      <c r="F108" s="8" t="s">
        <v>171</v>
      </c>
      <c r="G108" s="9" t="s">
        <v>59</v>
      </c>
      <c r="H108" s="10">
        <v>46187</v>
      </c>
      <c r="I108" s="11" t="s">
        <v>76</v>
      </c>
      <c r="J108" s="11" t="s">
        <v>77</v>
      </c>
      <c r="K108" s="11" t="s">
        <v>78</v>
      </c>
    </row>
    <row r="109" spans="1:11" ht="19.5" customHeight="1" x14ac:dyDescent="0.2">
      <c r="A109" s="67" t="s">
        <v>79</v>
      </c>
      <c r="B109" s="63"/>
      <c r="C109" s="63"/>
      <c r="D109" s="63"/>
      <c r="E109" s="63"/>
      <c r="F109" s="63"/>
      <c r="G109" s="63"/>
      <c r="H109" s="63"/>
      <c r="I109" s="63"/>
      <c r="J109" s="63"/>
      <c r="K109" s="64"/>
    </row>
    <row r="110" spans="1:11" ht="24" customHeight="1" x14ac:dyDescent="0.2">
      <c r="A110" s="7" t="s">
        <v>175</v>
      </c>
      <c r="B110" s="7" t="s">
        <v>167</v>
      </c>
      <c r="C110" s="8" t="s">
        <v>169</v>
      </c>
      <c r="D110" s="52"/>
      <c r="E110" s="52"/>
      <c r="F110" s="8" t="s">
        <v>173</v>
      </c>
      <c r="G110" s="9" t="s">
        <v>59</v>
      </c>
      <c r="H110" s="10">
        <v>46188</v>
      </c>
      <c r="I110" s="11" t="s">
        <v>60</v>
      </c>
      <c r="J110" s="11" t="s">
        <v>81</v>
      </c>
      <c r="K110" s="11" t="s">
        <v>82</v>
      </c>
    </row>
    <row r="111" spans="1:11" ht="19.5" customHeight="1" x14ac:dyDescent="0.2">
      <c r="A111" s="67" t="s">
        <v>83</v>
      </c>
      <c r="B111" s="63"/>
      <c r="C111" s="63"/>
      <c r="D111" s="63"/>
      <c r="E111" s="63"/>
      <c r="F111" s="63"/>
      <c r="G111" s="63"/>
      <c r="H111" s="63"/>
      <c r="I111" s="63"/>
      <c r="J111" s="63"/>
      <c r="K111" s="64"/>
    </row>
    <row r="112" spans="1:11" ht="24" customHeight="1" x14ac:dyDescent="0.2">
      <c r="A112" s="7" t="s">
        <v>176</v>
      </c>
      <c r="B112" s="7" t="s">
        <v>167</v>
      </c>
      <c r="C112" s="8" t="s">
        <v>171</v>
      </c>
      <c r="D112" s="52"/>
      <c r="E112" s="52"/>
      <c r="F112" s="8" t="s">
        <v>173</v>
      </c>
      <c r="G112" s="9" t="s">
        <v>59</v>
      </c>
      <c r="H112" s="10">
        <v>46189</v>
      </c>
      <c r="I112" s="11" t="s">
        <v>16</v>
      </c>
      <c r="J112" s="11" t="s">
        <v>85</v>
      </c>
      <c r="K112" s="11" t="s">
        <v>86</v>
      </c>
    </row>
    <row r="113" spans="1:11" ht="19.5" customHeight="1" x14ac:dyDescent="0.2">
      <c r="A113" s="67" t="s">
        <v>54</v>
      </c>
      <c r="B113" s="63"/>
      <c r="C113" s="63"/>
      <c r="D113" s="63"/>
      <c r="E113" s="63"/>
      <c r="F113" s="63"/>
      <c r="G113" s="63"/>
      <c r="H113" s="63"/>
      <c r="I113" s="63"/>
      <c r="J113" s="63"/>
      <c r="K113" s="64"/>
    </row>
    <row r="114" spans="1:11" ht="24" customHeight="1" x14ac:dyDescent="0.2">
      <c r="A114" s="7" t="s">
        <v>177</v>
      </c>
      <c r="B114" s="7" t="s">
        <v>178</v>
      </c>
      <c r="C114" s="8" t="s">
        <v>179</v>
      </c>
      <c r="D114" s="52"/>
      <c r="E114" s="52"/>
      <c r="F114" s="8" t="s">
        <v>180</v>
      </c>
      <c r="G114" s="9" t="s">
        <v>59</v>
      </c>
      <c r="H114" s="10">
        <v>46184</v>
      </c>
      <c r="I114" s="11" t="s">
        <v>60</v>
      </c>
      <c r="J114" s="11" t="s">
        <v>23</v>
      </c>
      <c r="K114" s="11" t="s">
        <v>24</v>
      </c>
    </row>
    <row r="115" spans="1:11" ht="19.5" customHeight="1" x14ac:dyDescent="0.2">
      <c r="A115" s="67" t="s">
        <v>63</v>
      </c>
      <c r="B115" s="63"/>
      <c r="C115" s="63"/>
      <c r="D115" s="63"/>
      <c r="E115" s="63"/>
      <c r="F115" s="63"/>
      <c r="G115" s="63"/>
      <c r="H115" s="63"/>
      <c r="I115" s="63"/>
      <c r="J115" s="63"/>
      <c r="K115" s="64"/>
    </row>
    <row r="116" spans="1:11" ht="24" customHeight="1" x14ac:dyDescent="0.2">
      <c r="A116" s="7" t="s">
        <v>181</v>
      </c>
      <c r="B116" s="7" t="s">
        <v>178</v>
      </c>
      <c r="C116" s="8" t="s">
        <v>179</v>
      </c>
      <c r="D116" s="52"/>
      <c r="E116" s="52"/>
      <c r="F116" s="8" t="s">
        <v>182</v>
      </c>
      <c r="G116" s="9" t="s">
        <v>59</v>
      </c>
      <c r="H116" s="10">
        <v>46185</v>
      </c>
      <c r="I116" s="11" t="s">
        <v>16</v>
      </c>
      <c r="J116" s="11" t="s">
        <v>93</v>
      </c>
      <c r="K116" s="11" t="s">
        <v>94</v>
      </c>
    </row>
    <row r="117" spans="1:11" ht="19.5" customHeight="1" x14ac:dyDescent="0.2">
      <c r="A117" s="67" t="s">
        <v>68</v>
      </c>
      <c r="B117" s="63"/>
      <c r="C117" s="63"/>
      <c r="D117" s="63"/>
      <c r="E117" s="63"/>
      <c r="F117" s="63"/>
      <c r="G117" s="63"/>
      <c r="H117" s="63"/>
      <c r="I117" s="63"/>
      <c r="J117" s="63"/>
      <c r="K117" s="64"/>
    </row>
    <row r="118" spans="1:11" ht="24" customHeight="1" x14ac:dyDescent="0.2">
      <c r="A118" s="7" t="s">
        <v>183</v>
      </c>
      <c r="B118" s="7" t="s">
        <v>178</v>
      </c>
      <c r="C118" s="8" t="s">
        <v>179</v>
      </c>
      <c r="D118" s="52"/>
      <c r="E118" s="52"/>
      <c r="F118" s="8" t="s">
        <v>184</v>
      </c>
      <c r="G118" s="9" t="s">
        <v>59</v>
      </c>
      <c r="H118" s="10">
        <v>46186</v>
      </c>
      <c r="I118" s="11" t="s">
        <v>71</v>
      </c>
      <c r="J118" s="11" t="s">
        <v>61</v>
      </c>
      <c r="K118" s="11" t="s">
        <v>62</v>
      </c>
    </row>
    <row r="119" spans="1:11" ht="19.5" customHeight="1" x14ac:dyDescent="0.2">
      <c r="A119" s="67" t="s">
        <v>74</v>
      </c>
      <c r="B119" s="63"/>
      <c r="C119" s="63"/>
      <c r="D119" s="63"/>
      <c r="E119" s="63"/>
      <c r="F119" s="63"/>
      <c r="G119" s="63"/>
      <c r="H119" s="63"/>
      <c r="I119" s="63"/>
      <c r="J119" s="63"/>
      <c r="K119" s="64"/>
    </row>
    <row r="120" spans="1:11" ht="24" customHeight="1" x14ac:dyDescent="0.2">
      <c r="A120" s="7" t="s">
        <v>185</v>
      </c>
      <c r="B120" s="7" t="s">
        <v>178</v>
      </c>
      <c r="C120" s="8" t="s">
        <v>180</v>
      </c>
      <c r="D120" s="52"/>
      <c r="E120" s="52"/>
      <c r="F120" s="8" t="s">
        <v>182</v>
      </c>
      <c r="G120" s="9" t="s">
        <v>59</v>
      </c>
      <c r="H120" s="10">
        <v>46187</v>
      </c>
      <c r="I120" s="11" t="s">
        <v>76</v>
      </c>
      <c r="J120" s="11" t="s">
        <v>66</v>
      </c>
      <c r="K120" s="11" t="s">
        <v>67</v>
      </c>
    </row>
    <row r="121" spans="1:11" ht="19.5" customHeight="1" x14ac:dyDescent="0.2">
      <c r="A121" s="67" t="s">
        <v>79</v>
      </c>
      <c r="B121" s="63"/>
      <c r="C121" s="63"/>
      <c r="D121" s="63"/>
      <c r="E121" s="63"/>
      <c r="F121" s="63"/>
      <c r="G121" s="63"/>
      <c r="H121" s="63"/>
      <c r="I121" s="63"/>
      <c r="J121" s="63"/>
      <c r="K121" s="64"/>
    </row>
    <row r="122" spans="1:11" ht="24" customHeight="1" x14ac:dyDescent="0.2">
      <c r="A122" s="7" t="s">
        <v>186</v>
      </c>
      <c r="B122" s="7" t="s">
        <v>178</v>
      </c>
      <c r="C122" s="8" t="s">
        <v>180</v>
      </c>
      <c r="D122" s="52"/>
      <c r="E122" s="52"/>
      <c r="F122" s="8" t="s">
        <v>184</v>
      </c>
      <c r="G122" s="9" t="s">
        <v>59</v>
      </c>
      <c r="H122" s="10">
        <v>46188</v>
      </c>
      <c r="I122" s="11" t="s">
        <v>60</v>
      </c>
      <c r="J122" s="11" t="s">
        <v>72</v>
      </c>
      <c r="K122" s="11" t="s">
        <v>73</v>
      </c>
    </row>
    <row r="123" spans="1:11" ht="19.5" customHeight="1" x14ac:dyDescent="0.2">
      <c r="A123" s="67" t="s">
        <v>83</v>
      </c>
      <c r="B123" s="63"/>
      <c r="C123" s="63"/>
      <c r="D123" s="63"/>
      <c r="E123" s="63"/>
      <c r="F123" s="63"/>
      <c r="G123" s="63"/>
      <c r="H123" s="63"/>
      <c r="I123" s="63"/>
      <c r="J123" s="63"/>
      <c r="K123" s="64"/>
    </row>
    <row r="124" spans="1:11" ht="24" customHeight="1" x14ac:dyDescent="0.2">
      <c r="A124" s="7" t="s">
        <v>187</v>
      </c>
      <c r="B124" s="7" t="s">
        <v>178</v>
      </c>
      <c r="C124" s="8" t="s">
        <v>182</v>
      </c>
      <c r="D124" s="52"/>
      <c r="E124" s="52"/>
      <c r="F124" s="8" t="s">
        <v>184</v>
      </c>
      <c r="G124" s="9" t="s">
        <v>59</v>
      </c>
      <c r="H124" s="10">
        <v>46189</v>
      </c>
      <c r="I124" s="11" t="s">
        <v>16</v>
      </c>
      <c r="J124" s="11" t="s">
        <v>77</v>
      </c>
      <c r="K124" s="11" t="s">
        <v>78</v>
      </c>
    </row>
    <row r="125" spans="1:11" ht="19.5" customHeight="1" x14ac:dyDescent="0.2">
      <c r="A125" s="67" t="s">
        <v>54</v>
      </c>
      <c r="B125" s="63"/>
      <c r="C125" s="63"/>
      <c r="D125" s="63"/>
      <c r="E125" s="63"/>
      <c r="F125" s="63"/>
      <c r="G125" s="63"/>
      <c r="H125" s="63"/>
      <c r="I125" s="63"/>
      <c r="J125" s="63"/>
      <c r="K125" s="64"/>
    </row>
    <row r="126" spans="1:11" ht="24" customHeight="1" x14ac:dyDescent="0.2">
      <c r="A126" s="7" t="s">
        <v>188</v>
      </c>
      <c r="B126" s="7" t="s">
        <v>189</v>
      </c>
      <c r="C126" s="8" t="s">
        <v>190</v>
      </c>
      <c r="D126" s="52"/>
      <c r="E126" s="52"/>
      <c r="F126" s="8" t="s">
        <v>191</v>
      </c>
      <c r="G126" s="9" t="s">
        <v>59</v>
      </c>
      <c r="H126" s="10">
        <v>46184</v>
      </c>
      <c r="I126" s="11" t="s">
        <v>60</v>
      </c>
      <c r="J126" s="11" t="s">
        <v>81</v>
      </c>
      <c r="K126" s="11" t="s">
        <v>82</v>
      </c>
    </row>
    <row r="127" spans="1:11" ht="19.5" customHeight="1" x14ac:dyDescent="0.2">
      <c r="A127" s="67" t="s">
        <v>63</v>
      </c>
      <c r="B127" s="63"/>
      <c r="C127" s="63"/>
      <c r="D127" s="63"/>
      <c r="E127" s="63"/>
      <c r="F127" s="63"/>
      <c r="G127" s="63"/>
      <c r="H127" s="63"/>
      <c r="I127" s="63"/>
      <c r="J127" s="63"/>
      <c r="K127" s="64"/>
    </row>
    <row r="128" spans="1:11" ht="24" customHeight="1" x14ac:dyDescent="0.2">
      <c r="A128" s="7" t="s">
        <v>192</v>
      </c>
      <c r="B128" s="7" t="s">
        <v>189</v>
      </c>
      <c r="C128" s="8" t="s">
        <v>190</v>
      </c>
      <c r="D128" s="52"/>
      <c r="E128" s="52"/>
      <c r="F128" s="8" t="s">
        <v>193</v>
      </c>
      <c r="G128" s="9" t="s">
        <v>59</v>
      </c>
      <c r="H128" s="10">
        <v>46185</v>
      </c>
      <c r="I128" s="11" t="s">
        <v>16</v>
      </c>
      <c r="J128" s="11" t="s">
        <v>85</v>
      </c>
      <c r="K128" s="11" t="s">
        <v>86</v>
      </c>
    </row>
    <row r="129" spans="1:11" ht="19.5" customHeight="1" x14ac:dyDescent="0.2">
      <c r="A129" s="67" t="s">
        <v>68</v>
      </c>
      <c r="B129" s="63"/>
      <c r="C129" s="63"/>
      <c r="D129" s="63"/>
      <c r="E129" s="63"/>
      <c r="F129" s="63"/>
      <c r="G129" s="63"/>
      <c r="H129" s="63"/>
      <c r="I129" s="63"/>
      <c r="J129" s="63"/>
      <c r="K129" s="64"/>
    </row>
    <row r="130" spans="1:11" ht="24" customHeight="1" x14ac:dyDescent="0.2">
      <c r="A130" s="7" t="s">
        <v>194</v>
      </c>
      <c r="B130" s="7" t="s">
        <v>189</v>
      </c>
      <c r="C130" s="8" t="s">
        <v>190</v>
      </c>
      <c r="D130" s="52"/>
      <c r="E130" s="52"/>
      <c r="F130" s="8" t="s">
        <v>195</v>
      </c>
      <c r="G130" s="9" t="s">
        <v>59</v>
      </c>
      <c r="H130" s="10">
        <v>46186</v>
      </c>
      <c r="I130" s="11" t="s">
        <v>71</v>
      </c>
      <c r="J130" s="11" t="s">
        <v>23</v>
      </c>
      <c r="K130" s="11" t="s">
        <v>24</v>
      </c>
    </row>
    <row r="131" spans="1:11" ht="19.5" customHeight="1" x14ac:dyDescent="0.2">
      <c r="A131" s="67" t="s">
        <v>74</v>
      </c>
      <c r="B131" s="63"/>
      <c r="C131" s="63"/>
      <c r="D131" s="63"/>
      <c r="E131" s="63"/>
      <c r="F131" s="63"/>
      <c r="G131" s="63"/>
      <c r="H131" s="63"/>
      <c r="I131" s="63"/>
      <c r="J131" s="63"/>
      <c r="K131" s="64"/>
    </row>
    <row r="132" spans="1:11" ht="24" customHeight="1" x14ac:dyDescent="0.2">
      <c r="A132" s="7" t="s">
        <v>196</v>
      </c>
      <c r="B132" s="7" t="s">
        <v>189</v>
      </c>
      <c r="C132" s="8" t="s">
        <v>191</v>
      </c>
      <c r="D132" s="52"/>
      <c r="E132" s="52"/>
      <c r="F132" s="8" t="s">
        <v>193</v>
      </c>
      <c r="G132" s="9" t="s">
        <v>59</v>
      </c>
      <c r="H132" s="10">
        <v>46187</v>
      </c>
      <c r="I132" s="11" t="s">
        <v>76</v>
      </c>
      <c r="J132" s="11" t="s">
        <v>93</v>
      </c>
      <c r="K132" s="11" t="s">
        <v>94</v>
      </c>
    </row>
    <row r="133" spans="1:11" ht="19.5" customHeight="1" x14ac:dyDescent="0.2">
      <c r="A133" s="67" t="s">
        <v>79</v>
      </c>
      <c r="B133" s="63"/>
      <c r="C133" s="63"/>
      <c r="D133" s="63"/>
      <c r="E133" s="63"/>
      <c r="F133" s="63"/>
      <c r="G133" s="63"/>
      <c r="H133" s="63"/>
      <c r="I133" s="63"/>
      <c r="J133" s="63"/>
      <c r="K133" s="64"/>
    </row>
    <row r="134" spans="1:11" ht="24" customHeight="1" x14ac:dyDescent="0.2">
      <c r="A134" s="7" t="s">
        <v>197</v>
      </c>
      <c r="B134" s="7" t="s">
        <v>189</v>
      </c>
      <c r="C134" s="8" t="s">
        <v>191</v>
      </c>
      <c r="D134" s="52"/>
      <c r="E134" s="52"/>
      <c r="F134" s="8" t="s">
        <v>195</v>
      </c>
      <c r="G134" s="9" t="s">
        <v>59</v>
      </c>
      <c r="H134" s="10">
        <v>46188</v>
      </c>
      <c r="I134" s="11" t="s">
        <v>60</v>
      </c>
      <c r="J134" s="11" t="s">
        <v>61</v>
      </c>
      <c r="K134" s="11" t="s">
        <v>62</v>
      </c>
    </row>
    <row r="135" spans="1:11" ht="19.5" customHeight="1" x14ac:dyDescent="0.2">
      <c r="A135" s="67" t="s">
        <v>83</v>
      </c>
      <c r="B135" s="63"/>
      <c r="C135" s="63"/>
      <c r="D135" s="63"/>
      <c r="E135" s="63"/>
      <c r="F135" s="63"/>
      <c r="G135" s="63"/>
      <c r="H135" s="63"/>
      <c r="I135" s="63"/>
      <c r="J135" s="63"/>
      <c r="K135" s="64"/>
    </row>
    <row r="136" spans="1:11" ht="24" customHeight="1" x14ac:dyDescent="0.2">
      <c r="A136" s="7" t="s">
        <v>198</v>
      </c>
      <c r="B136" s="7" t="s">
        <v>189</v>
      </c>
      <c r="C136" s="8" t="s">
        <v>193</v>
      </c>
      <c r="D136" s="52"/>
      <c r="E136" s="52"/>
      <c r="F136" s="8" t="s">
        <v>195</v>
      </c>
      <c r="G136" s="9" t="s">
        <v>59</v>
      </c>
      <c r="H136" s="10">
        <v>46189</v>
      </c>
      <c r="I136" s="11" t="s">
        <v>16</v>
      </c>
      <c r="J136" s="11" t="s">
        <v>66</v>
      </c>
      <c r="K136" s="11" t="s">
        <v>67</v>
      </c>
    </row>
    <row r="137" spans="1:11" ht="19.5" customHeight="1" x14ac:dyDescent="0.2">
      <c r="A137" s="67" t="s">
        <v>54</v>
      </c>
      <c r="B137" s="63"/>
      <c r="C137" s="63"/>
      <c r="D137" s="63"/>
      <c r="E137" s="63"/>
      <c r="F137" s="63"/>
      <c r="G137" s="63"/>
      <c r="H137" s="63"/>
      <c r="I137" s="63"/>
      <c r="J137" s="63"/>
      <c r="K137" s="64"/>
    </row>
    <row r="138" spans="1:11" ht="24" customHeight="1" x14ac:dyDescent="0.2">
      <c r="A138" s="7" t="s">
        <v>199</v>
      </c>
      <c r="B138" s="7" t="s">
        <v>200</v>
      </c>
      <c r="C138" s="8" t="s">
        <v>201</v>
      </c>
      <c r="D138" s="52"/>
      <c r="E138" s="52"/>
      <c r="F138" s="8" t="s">
        <v>202</v>
      </c>
      <c r="G138" s="9" t="s">
        <v>59</v>
      </c>
      <c r="H138" s="10">
        <v>46184</v>
      </c>
      <c r="I138" s="11" t="s">
        <v>60</v>
      </c>
      <c r="J138" s="11" t="s">
        <v>72</v>
      </c>
      <c r="K138" s="11" t="s">
        <v>73</v>
      </c>
    </row>
    <row r="139" spans="1:11" ht="19.5" customHeight="1" x14ac:dyDescent="0.2">
      <c r="A139" s="67" t="s">
        <v>63</v>
      </c>
      <c r="B139" s="63"/>
      <c r="C139" s="63"/>
      <c r="D139" s="63"/>
      <c r="E139" s="63"/>
      <c r="F139" s="63"/>
      <c r="G139" s="63"/>
      <c r="H139" s="63"/>
      <c r="I139" s="63"/>
      <c r="J139" s="63"/>
      <c r="K139" s="64"/>
    </row>
    <row r="140" spans="1:11" ht="24" customHeight="1" x14ac:dyDescent="0.2">
      <c r="A140" s="7" t="s">
        <v>203</v>
      </c>
      <c r="B140" s="7" t="s">
        <v>200</v>
      </c>
      <c r="C140" s="8" t="s">
        <v>201</v>
      </c>
      <c r="D140" s="52"/>
      <c r="E140" s="52"/>
      <c r="F140" s="8" t="s">
        <v>204</v>
      </c>
      <c r="G140" s="9" t="s">
        <v>59</v>
      </c>
      <c r="H140" s="10">
        <v>46185</v>
      </c>
      <c r="I140" s="11" t="s">
        <v>16</v>
      </c>
      <c r="J140" s="11" t="s">
        <v>77</v>
      </c>
      <c r="K140" s="11" t="s">
        <v>78</v>
      </c>
    </row>
    <row r="141" spans="1:11" ht="19.5" customHeight="1" x14ac:dyDescent="0.2">
      <c r="A141" s="67" t="s">
        <v>68</v>
      </c>
      <c r="B141" s="63"/>
      <c r="C141" s="63"/>
      <c r="D141" s="63"/>
      <c r="E141" s="63"/>
      <c r="F141" s="63"/>
      <c r="G141" s="63"/>
      <c r="H141" s="63"/>
      <c r="I141" s="63"/>
      <c r="J141" s="63"/>
      <c r="K141" s="64"/>
    </row>
    <row r="142" spans="1:11" ht="24" customHeight="1" x14ac:dyDescent="0.2">
      <c r="A142" s="7" t="s">
        <v>205</v>
      </c>
      <c r="B142" s="7" t="s">
        <v>200</v>
      </c>
      <c r="C142" s="8" t="s">
        <v>201</v>
      </c>
      <c r="D142" s="52"/>
      <c r="E142" s="52"/>
      <c r="F142" s="8" t="s">
        <v>206</v>
      </c>
      <c r="G142" s="9" t="s">
        <v>59</v>
      </c>
      <c r="H142" s="10">
        <v>46186</v>
      </c>
      <c r="I142" s="11" t="s">
        <v>71</v>
      </c>
      <c r="J142" s="11" t="s">
        <v>81</v>
      </c>
      <c r="K142" s="11" t="s">
        <v>82</v>
      </c>
    </row>
    <row r="143" spans="1:11" ht="19.5" customHeight="1" x14ac:dyDescent="0.2">
      <c r="A143" s="67" t="s">
        <v>74</v>
      </c>
      <c r="B143" s="63"/>
      <c r="C143" s="63"/>
      <c r="D143" s="63"/>
      <c r="E143" s="63"/>
      <c r="F143" s="63"/>
      <c r="G143" s="63"/>
      <c r="H143" s="63"/>
      <c r="I143" s="63"/>
      <c r="J143" s="63"/>
      <c r="K143" s="64"/>
    </row>
    <row r="144" spans="1:11" ht="24" customHeight="1" x14ac:dyDescent="0.2">
      <c r="A144" s="7" t="s">
        <v>207</v>
      </c>
      <c r="B144" s="7" t="s">
        <v>200</v>
      </c>
      <c r="C144" s="8" t="s">
        <v>202</v>
      </c>
      <c r="D144" s="52"/>
      <c r="E144" s="52"/>
      <c r="F144" s="8" t="s">
        <v>204</v>
      </c>
      <c r="G144" s="9" t="s">
        <v>59</v>
      </c>
      <c r="H144" s="10">
        <v>46187</v>
      </c>
      <c r="I144" s="11" t="s">
        <v>76</v>
      </c>
      <c r="J144" s="11" t="s">
        <v>85</v>
      </c>
      <c r="K144" s="11" t="s">
        <v>86</v>
      </c>
    </row>
    <row r="145" spans="1:11" ht="19.5" customHeight="1" x14ac:dyDescent="0.2">
      <c r="A145" s="67" t="s">
        <v>79</v>
      </c>
      <c r="B145" s="63"/>
      <c r="C145" s="63"/>
      <c r="D145" s="63"/>
      <c r="E145" s="63"/>
      <c r="F145" s="63"/>
      <c r="G145" s="63"/>
      <c r="H145" s="63"/>
      <c r="I145" s="63"/>
      <c r="J145" s="63"/>
      <c r="K145" s="64"/>
    </row>
    <row r="146" spans="1:11" ht="24" customHeight="1" x14ac:dyDescent="0.2">
      <c r="A146" s="7" t="s">
        <v>208</v>
      </c>
      <c r="B146" s="7" t="s">
        <v>200</v>
      </c>
      <c r="C146" s="8" t="s">
        <v>202</v>
      </c>
      <c r="D146" s="52"/>
      <c r="E146" s="52"/>
      <c r="F146" s="8" t="s">
        <v>206</v>
      </c>
      <c r="G146" s="9" t="s">
        <v>59</v>
      </c>
      <c r="H146" s="10">
        <v>46188</v>
      </c>
      <c r="I146" s="11" t="s">
        <v>60</v>
      </c>
      <c r="J146" s="11" t="s">
        <v>23</v>
      </c>
      <c r="K146" s="11" t="s">
        <v>24</v>
      </c>
    </row>
    <row r="147" spans="1:11" ht="19.5" customHeight="1" x14ac:dyDescent="0.2">
      <c r="A147" s="67" t="s">
        <v>83</v>
      </c>
      <c r="B147" s="63"/>
      <c r="C147" s="63"/>
      <c r="D147" s="63"/>
      <c r="E147" s="63"/>
      <c r="F147" s="63"/>
      <c r="G147" s="63"/>
      <c r="H147" s="63"/>
      <c r="I147" s="63"/>
      <c r="J147" s="63"/>
      <c r="K147" s="64"/>
    </row>
    <row r="148" spans="1:11" ht="24" customHeight="1" x14ac:dyDescent="0.2">
      <c r="A148" s="7" t="s">
        <v>209</v>
      </c>
      <c r="B148" s="7" t="s">
        <v>200</v>
      </c>
      <c r="C148" s="8" t="s">
        <v>204</v>
      </c>
      <c r="D148" s="52"/>
      <c r="E148" s="52"/>
      <c r="F148" s="8" t="s">
        <v>206</v>
      </c>
      <c r="G148" s="9" t="s">
        <v>59</v>
      </c>
      <c r="H148" s="10">
        <v>46189</v>
      </c>
      <c r="I148" s="11" t="s">
        <v>16</v>
      </c>
      <c r="J148" s="11" t="s">
        <v>93</v>
      </c>
      <c r="K148" s="11" t="s">
        <v>94</v>
      </c>
    </row>
    <row r="149" spans="1:11" ht="18" customHeight="1" x14ac:dyDescent="0.2"/>
    <row r="150" spans="1:11" ht="18" customHeight="1" x14ac:dyDescent="0.2">
      <c r="A150" s="69" t="s">
        <v>210</v>
      </c>
      <c r="B150" s="70"/>
      <c r="C150" s="70"/>
      <c r="D150" s="70"/>
      <c r="E150" s="70"/>
      <c r="F150" s="70"/>
      <c r="G150" s="70"/>
      <c r="H150" s="70"/>
      <c r="I150" s="70"/>
      <c r="J150" s="70"/>
      <c r="K150" s="70"/>
    </row>
    <row r="151" spans="1:11" x14ac:dyDescent="0.2"/>
    <row r="152" spans="1:11" x14ac:dyDescent="0.2"/>
    <row r="153" spans="1:11" x14ac:dyDescent="0.2"/>
    <row r="154" spans="1:11" x14ac:dyDescent="0.2"/>
    <row r="155" spans="1:11" x14ac:dyDescent="0.2"/>
    <row r="156" spans="1:11" x14ac:dyDescent="0.2"/>
    <row r="157" spans="1:11" x14ac:dyDescent="0.2"/>
    <row r="158" spans="1:11" x14ac:dyDescent="0.2"/>
    <row r="159" spans="1:11" x14ac:dyDescent="0.2"/>
    <row r="160" spans="1:11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</sheetData>
  <sheetProtection password="CE4B" sheet="1"/>
  <mergeCells count="75">
    <mergeCell ref="A150:K150"/>
    <mergeCell ref="A23:K23"/>
    <mergeCell ref="A17:K17"/>
    <mergeCell ref="A141:K141"/>
    <mergeCell ref="A53:K53"/>
    <mergeCell ref="A91:K91"/>
    <mergeCell ref="A35:K35"/>
    <mergeCell ref="A97:K97"/>
    <mergeCell ref="A131:K131"/>
    <mergeCell ref="A135:K135"/>
    <mergeCell ref="A67:K67"/>
    <mergeCell ref="A109:K109"/>
    <mergeCell ref="A147:K147"/>
    <mergeCell ref="A3:K3"/>
    <mergeCell ref="A21:K21"/>
    <mergeCell ref="A101:K101"/>
    <mergeCell ref="A55:K55"/>
    <mergeCell ref="A139:K139"/>
    <mergeCell ref="A57:K57"/>
    <mergeCell ref="A95:K95"/>
    <mergeCell ref="A33:K33"/>
    <mergeCell ref="A71:K71"/>
    <mergeCell ref="A113:K113"/>
    <mergeCell ref="A47:K47"/>
    <mergeCell ref="A85:K85"/>
    <mergeCell ref="A9:K9"/>
    <mergeCell ref="A111:K111"/>
    <mergeCell ref="A31:K31"/>
    <mergeCell ref="A75:K75"/>
    <mergeCell ref="A29:K29"/>
    <mergeCell ref="A43:K43"/>
    <mergeCell ref="A81:K81"/>
    <mergeCell ref="A145:K145"/>
    <mergeCell ref="A83:K83"/>
    <mergeCell ref="A129:K129"/>
    <mergeCell ref="A5:K5"/>
    <mergeCell ref="A125:K125"/>
    <mergeCell ref="A1:K1"/>
    <mergeCell ref="A79:K79"/>
    <mergeCell ref="A61:K61"/>
    <mergeCell ref="A119:K119"/>
    <mergeCell ref="A69:K69"/>
    <mergeCell ref="A87:K87"/>
    <mergeCell ref="A7:K7"/>
    <mergeCell ref="A25:K25"/>
    <mergeCell ref="A65:K65"/>
    <mergeCell ref="A41:K41"/>
    <mergeCell ref="A99:K99"/>
    <mergeCell ref="A37:K37"/>
    <mergeCell ref="A11:K11"/>
    <mergeCell ref="A49:K49"/>
    <mergeCell ref="A51:K51"/>
    <mergeCell ref="A45:K45"/>
    <mergeCell ref="A63:K63"/>
    <mergeCell ref="A19:K19"/>
    <mergeCell ref="A13:K13"/>
    <mergeCell ref="A27:K27"/>
    <mergeCell ref="A15:K15"/>
    <mergeCell ref="A59:K59"/>
    <mergeCell ref="A127:K127"/>
    <mergeCell ref="A143:K143"/>
    <mergeCell ref="A39:K39"/>
    <mergeCell ref="A77:K77"/>
    <mergeCell ref="A107:K107"/>
    <mergeCell ref="A123:K123"/>
    <mergeCell ref="A103:K103"/>
    <mergeCell ref="A137:K137"/>
    <mergeCell ref="A133:K133"/>
    <mergeCell ref="A121:K121"/>
    <mergeCell ref="A115:K115"/>
    <mergeCell ref="A117:K117"/>
    <mergeCell ref="A93:K93"/>
    <mergeCell ref="A89:K89"/>
    <mergeCell ref="A105:K105"/>
    <mergeCell ref="A73:K73"/>
  </mergeCells>
  <dataValidations count="1">
    <dataValidation type="whole" allowBlank="1" showInputMessage="1" showErrorMessage="1" errorTitle="Valor no válido" error="Solo se permiten enteros entre 0 y 9." promptTitle="Captura válida" prompt="Ingresa un marcador entero entre 0 y 9." sqref="D6:E6 D8:E8 D10:E10 D12:E12 D14:E14 D16:E16 D18:E18 D20:E20 D22:E22 D24:E24 D26:E26 D28:E28 D30:E30 D32:E32 D34:E34 D36:E36 D38:E38 D40:E40 D42:E42 D44:E44 D46:E46 D48:E48 D50:E50 D52:E52 D54:E54 D56:E56 D58:E58 D60:E60 D62:E62 D64:E64 D66:E66 D68:E68 D70:E70 D72:E72 D74:E74 D76:E76 D78:E78 D80:E80 D82:E82 D84:E84 D86:E86 D88:E88 D90:E90 D92:E92 D94:E94 D96:E96 D98:E98 D100:E100 D102:E102 D104:E104 D106:E106 D108:E108 D110:E110 D112:E112 D114:E114 D116:E116 D118:E118 D120:E120 D122:E122 D124:E124 D126:E126 D128:E128 D130:E130 D132:E132 D134:E134 D136:E136 D138:E138 D140:E140 D142:E142 D144:E144 D146:E146 D148:E148" xr:uid="{00000000-0002-0000-0100-000000000000}">
      <formula1>0</formula1>
      <formula2>9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errarFaseGrupos" altText="Cerrar Fase de Grupos">
                <anchor moveWithCells="1" sizeWithCells="1">
                  <from>
                    <xdr:col>12</xdr:col>
                    <xdr:colOff>152400</xdr:colOff>
                    <xdr:row>1</xdr:row>
                    <xdr:rowOff>12700</xdr:rowOff>
                  </from>
                  <to>
                    <xdr:col>14</xdr:col>
                    <xdr:colOff>355600</xdr:colOff>
                    <xdr:row>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M49"/>
  <sheetViews>
    <sheetView showGridLines="0" zoomScaleNormal="100" workbookViewId="0"/>
  </sheetViews>
  <sheetFormatPr baseColWidth="10" defaultColWidth="8.6640625" defaultRowHeight="15" customHeight="1" x14ac:dyDescent="0.2"/>
  <cols>
    <col min="1" max="1" width="8" customWidth="1"/>
    <col min="2" max="2" width="26" customWidth="1"/>
    <col min="3" max="8" width="8" customWidth="1"/>
    <col min="11" max="11" width="10" customWidth="1"/>
    <col min="12" max="13" width="26" customWidth="1"/>
  </cols>
  <sheetData>
    <row r="1" spans="1:13" ht="15" customHeight="1" x14ac:dyDescent="0.2">
      <c r="A1" s="2" t="s">
        <v>211</v>
      </c>
      <c r="B1" s="2" t="s">
        <v>212</v>
      </c>
      <c r="C1" s="2" t="s">
        <v>213</v>
      </c>
      <c r="D1" s="2" t="s">
        <v>214</v>
      </c>
      <c r="E1" s="2" t="s">
        <v>215</v>
      </c>
      <c r="F1" s="2" t="s">
        <v>216</v>
      </c>
      <c r="G1" s="2" t="s">
        <v>217</v>
      </c>
      <c r="H1" s="2" t="s">
        <v>218</v>
      </c>
      <c r="I1" s="12"/>
      <c r="J1" s="12"/>
      <c r="K1" s="2" t="s">
        <v>219</v>
      </c>
      <c r="L1" s="2" t="s">
        <v>220</v>
      </c>
      <c r="M1" s="2" t="s">
        <v>221</v>
      </c>
    </row>
    <row r="2" spans="1:13" ht="15" customHeight="1" x14ac:dyDescent="0.2">
      <c r="A2" s="13" t="s">
        <v>56</v>
      </c>
      <c r="B2" s="13" t="s">
        <v>57</v>
      </c>
      <c r="C2" s="13">
        <v>1</v>
      </c>
      <c r="D2" s="14">
        <f>SUMPRODUCT(('1_GRUPOS'!$B$6:$B$200=$A2)*('1_GRUPOS'!$C$6:$C$200=$B2)*('1_GRUPOS'!$D$6:$D$200&lt;&gt;"")*('1_GRUPOS'!$E$6:$E$200&lt;&gt;"")*((('1_GRUPOS'!$D$6:$D$200&gt;'1_GRUPOS'!$E$6:$E$200)*3)+('1_GRUPOS'!$D$6:$D$200='1_GRUPOS'!$E$6:$E$200)))+SUMPRODUCT(('1_GRUPOS'!$B$6:$B$200=$A2)*('1_GRUPOS'!$F$6:$F$200=$B2)*('1_GRUPOS'!$D$6:$D$200&lt;&gt;"")*('1_GRUPOS'!$E$6:$E$200&lt;&gt;"")*((('1_GRUPOS'!$E$6:$E$200&gt;'1_GRUPOS'!$D$6:$D$200)*3)+('1_GRUPOS'!$D$6:$D$200='1_GRUPOS'!$E$6:$E$200)))</f>
        <v>0</v>
      </c>
      <c r="E2" s="14">
        <f>SUMPRODUCT(('1_GRUPOS'!$B$6:$B$200=$A2)*('1_GRUPOS'!$C$6:$C$200=$B2)*('1_GRUPOS'!$D$6:$D$200&lt;&gt;"")*'1_GRUPOS'!$D$6:$D$200)+SUMPRODUCT(('1_GRUPOS'!$B$6:$B$200=$A2)*('1_GRUPOS'!$F$6:$F$200=$B2)*('1_GRUPOS'!$E$6:$E$200&lt;&gt;"")*'1_GRUPOS'!$E$6:$E$200)</f>
        <v>0</v>
      </c>
      <c r="F2" s="14">
        <f>SUMPRODUCT(('1_GRUPOS'!$B$6:$B$200=$A2)*('1_GRUPOS'!$C$6:$C$200=$B2)*('1_GRUPOS'!$E$6:$E$200&lt;&gt;"")*'1_GRUPOS'!$E$6:$E$200)+SUMPRODUCT(('1_GRUPOS'!$B$6:$B$200=$A2)*('1_GRUPOS'!$F$6:$F$200=$B2)*('1_GRUPOS'!$D$6:$D$200&lt;&gt;"")*'1_GRUPOS'!$D$6:$D$200)</f>
        <v>0</v>
      </c>
      <c r="G2" s="14">
        <f t="shared" ref="G2:G49" si="0">E2-F2</f>
        <v>0</v>
      </c>
      <c r="H2" s="14">
        <f t="shared" ref="H2:H49" si="1">1+COUNTIFS($A$2:$A$49,A2,$D$2:$D$49,"&gt;"&amp;D2)+COUNTIFS($A$2:$A$49,A2,$D$2:$D$49,D2,$G$2:$G$49,"&gt;"&amp;G2)+COUNTIFS($A$2:$A$49,A2,$D$2:$D$49,D2,$G$2:$G$49,G2,$E$2:$E$49,"&gt;"&amp;E2)+COUNTIFS($A$2:$A$49,A2,$D$2:$D$49,D2,$G$2:$G$49,G2,$E$2:$E$49,E2,$B$2:$B$49,"&lt;"&amp;B2)</f>
        <v>2</v>
      </c>
      <c r="I2" s="11"/>
      <c r="J2" s="11"/>
      <c r="K2" s="15" t="s">
        <v>56</v>
      </c>
      <c r="L2" s="16" t="str">
        <f t="shared" ref="L2:L13" si="2">IFERROR(INDEX($B$2:$B$49, MATCH(1, INDEX(($A$2:$A$49=K2)*($H$2:$H$49=1), 0), 0)), "?")</f>
        <v>🇰🇷 Corea del Sur</v>
      </c>
      <c r="M2" s="16" t="str">
        <f t="shared" ref="M2:M13" si="3">IFERROR(INDEX($B$2:$B$49, MATCH(1, INDEX(($A$2:$A$49=K2)*($H$2:$H$49=2), 0), 0)), "?")</f>
        <v>🇲🇽 México</v>
      </c>
    </row>
    <row r="3" spans="1:13" ht="15" customHeight="1" x14ac:dyDescent="0.2">
      <c r="A3" s="13" t="s">
        <v>56</v>
      </c>
      <c r="B3" s="13" t="s">
        <v>58</v>
      </c>
      <c r="C3" s="13">
        <v>2</v>
      </c>
      <c r="D3" s="14">
        <f>SUMPRODUCT(('1_GRUPOS'!$B$6:$B$200=$A3)*('1_GRUPOS'!$C$6:$C$200=$B3)*('1_GRUPOS'!$D$6:$D$200&lt;&gt;"")*('1_GRUPOS'!$E$6:$E$200&lt;&gt;"")*((('1_GRUPOS'!$D$6:$D$200&gt;'1_GRUPOS'!$E$6:$E$200)*3)+('1_GRUPOS'!$D$6:$D$200='1_GRUPOS'!$E$6:$E$200)))+SUMPRODUCT(('1_GRUPOS'!$B$6:$B$200=$A3)*('1_GRUPOS'!$F$6:$F$200=$B3)*('1_GRUPOS'!$D$6:$D$200&lt;&gt;"")*('1_GRUPOS'!$E$6:$E$200&lt;&gt;"")*((('1_GRUPOS'!$E$6:$E$200&gt;'1_GRUPOS'!$D$6:$D$200)*3)+('1_GRUPOS'!$D$6:$D$200='1_GRUPOS'!$E$6:$E$200)))</f>
        <v>0</v>
      </c>
      <c r="E3" s="14">
        <f>SUMPRODUCT(('1_GRUPOS'!$B$6:$B$200=$A3)*('1_GRUPOS'!$C$6:$C$200=$B3)*('1_GRUPOS'!$D$6:$D$200&lt;&gt;"")*'1_GRUPOS'!$D$6:$D$200)+SUMPRODUCT(('1_GRUPOS'!$B$6:$B$200=$A3)*('1_GRUPOS'!$F$6:$F$200=$B3)*('1_GRUPOS'!$E$6:$E$200&lt;&gt;"")*'1_GRUPOS'!$E$6:$E$200)</f>
        <v>0</v>
      </c>
      <c r="F3" s="14">
        <f>SUMPRODUCT(('1_GRUPOS'!$B$6:$B$200=$A3)*('1_GRUPOS'!$C$6:$C$200=$B3)*('1_GRUPOS'!$E$6:$E$200&lt;&gt;"")*'1_GRUPOS'!$E$6:$E$200)+SUMPRODUCT(('1_GRUPOS'!$B$6:$B$200=$A3)*('1_GRUPOS'!$F$6:$F$200=$B3)*('1_GRUPOS'!$D$6:$D$200&lt;&gt;"")*'1_GRUPOS'!$D$6:$D$200)</f>
        <v>0</v>
      </c>
      <c r="G3" s="14">
        <f t="shared" si="0"/>
        <v>0</v>
      </c>
      <c r="H3" s="14">
        <f t="shared" si="1"/>
        <v>3</v>
      </c>
      <c r="I3" s="11"/>
      <c r="J3" s="11"/>
      <c r="K3" s="15" t="s">
        <v>88</v>
      </c>
      <c r="L3" s="16" t="str">
        <f t="shared" si="2"/>
        <v>🇨🇦 Canadá</v>
      </c>
      <c r="M3" s="16" t="str">
        <f t="shared" si="3"/>
        <v>🇨🇭 Suiza</v>
      </c>
    </row>
    <row r="4" spans="1:13" ht="15" customHeight="1" x14ac:dyDescent="0.2">
      <c r="A4" s="13" t="s">
        <v>56</v>
      </c>
      <c r="B4" s="13" t="s">
        <v>65</v>
      </c>
      <c r="C4" s="13">
        <v>3</v>
      </c>
      <c r="D4" s="14">
        <f>SUMPRODUCT(('1_GRUPOS'!$B$6:$B$200=$A4)*('1_GRUPOS'!$C$6:$C$200=$B4)*('1_GRUPOS'!$D$6:$D$200&lt;&gt;"")*('1_GRUPOS'!$E$6:$E$200&lt;&gt;"")*((('1_GRUPOS'!$D$6:$D$200&gt;'1_GRUPOS'!$E$6:$E$200)*3)+('1_GRUPOS'!$D$6:$D$200='1_GRUPOS'!$E$6:$E$200)))+SUMPRODUCT(('1_GRUPOS'!$B$6:$B$200=$A4)*('1_GRUPOS'!$F$6:$F$200=$B4)*('1_GRUPOS'!$D$6:$D$200&lt;&gt;"")*('1_GRUPOS'!$E$6:$E$200&lt;&gt;"")*((('1_GRUPOS'!$E$6:$E$200&gt;'1_GRUPOS'!$D$6:$D$200)*3)+('1_GRUPOS'!$D$6:$D$200='1_GRUPOS'!$E$6:$E$200)))</f>
        <v>0</v>
      </c>
      <c r="E4" s="14">
        <f>SUMPRODUCT(('1_GRUPOS'!$B$6:$B$200=$A4)*('1_GRUPOS'!$C$6:$C$200=$B4)*('1_GRUPOS'!$D$6:$D$200&lt;&gt;"")*'1_GRUPOS'!$D$6:$D$200)+SUMPRODUCT(('1_GRUPOS'!$B$6:$B$200=$A4)*('1_GRUPOS'!$F$6:$F$200=$B4)*('1_GRUPOS'!$E$6:$E$200&lt;&gt;"")*'1_GRUPOS'!$E$6:$E$200)</f>
        <v>0</v>
      </c>
      <c r="F4" s="14">
        <f>SUMPRODUCT(('1_GRUPOS'!$B$6:$B$200=$A4)*('1_GRUPOS'!$C$6:$C$200=$B4)*('1_GRUPOS'!$E$6:$E$200&lt;&gt;"")*'1_GRUPOS'!$E$6:$E$200)+SUMPRODUCT(('1_GRUPOS'!$B$6:$B$200=$A4)*('1_GRUPOS'!$F$6:$F$200=$B4)*('1_GRUPOS'!$D$6:$D$200&lt;&gt;"")*'1_GRUPOS'!$D$6:$D$200)</f>
        <v>0</v>
      </c>
      <c r="G4" s="14">
        <f t="shared" si="0"/>
        <v>0</v>
      </c>
      <c r="H4" s="14">
        <f t="shared" si="1"/>
        <v>1</v>
      </c>
      <c r="I4" s="11"/>
      <c r="J4" s="11"/>
      <c r="K4" s="15" t="s">
        <v>101</v>
      </c>
      <c r="L4" s="16" t="str">
        <f t="shared" si="2"/>
        <v>🇧🇷 Brasil</v>
      </c>
      <c r="M4" s="16" t="str">
        <f t="shared" si="3"/>
        <v>🇭🇹 Haití</v>
      </c>
    </row>
    <row r="5" spans="1:13" ht="15" customHeight="1" x14ac:dyDescent="0.2">
      <c r="A5" s="13" t="s">
        <v>56</v>
      </c>
      <c r="B5" s="13" t="s">
        <v>70</v>
      </c>
      <c r="C5" s="13">
        <v>4</v>
      </c>
      <c r="D5" s="14">
        <f>SUMPRODUCT(('1_GRUPOS'!$B$6:$B$200=$A5)*('1_GRUPOS'!$C$6:$C$200=$B5)*('1_GRUPOS'!$D$6:$D$200&lt;&gt;"")*('1_GRUPOS'!$E$6:$E$200&lt;&gt;"")*((('1_GRUPOS'!$D$6:$D$200&gt;'1_GRUPOS'!$E$6:$E$200)*3)+('1_GRUPOS'!$D$6:$D$200='1_GRUPOS'!$E$6:$E$200)))+SUMPRODUCT(('1_GRUPOS'!$B$6:$B$200=$A5)*('1_GRUPOS'!$F$6:$F$200=$B5)*('1_GRUPOS'!$D$6:$D$200&lt;&gt;"")*('1_GRUPOS'!$E$6:$E$200&lt;&gt;"")*((('1_GRUPOS'!$E$6:$E$200&gt;'1_GRUPOS'!$D$6:$D$200)*3)+('1_GRUPOS'!$D$6:$D$200='1_GRUPOS'!$E$6:$E$200)))</f>
        <v>0</v>
      </c>
      <c r="E5" s="14">
        <f>SUMPRODUCT(('1_GRUPOS'!$B$6:$B$200=$A5)*('1_GRUPOS'!$C$6:$C$200=$B5)*('1_GRUPOS'!$D$6:$D$200&lt;&gt;"")*'1_GRUPOS'!$D$6:$D$200)+SUMPRODUCT(('1_GRUPOS'!$B$6:$B$200=$A5)*('1_GRUPOS'!$F$6:$F$200=$B5)*('1_GRUPOS'!$E$6:$E$200&lt;&gt;"")*'1_GRUPOS'!$E$6:$E$200)</f>
        <v>0</v>
      </c>
      <c r="F5" s="14">
        <f>SUMPRODUCT(('1_GRUPOS'!$B$6:$B$200=$A5)*('1_GRUPOS'!$C$6:$C$200=$B5)*('1_GRUPOS'!$E$6:$E$200&lt;&gt;"")*'1_GRUPOS'!$E$6:$E$200)+SUMPRODUCT(('1_GRUPOS'!$B$6:$B$200=$A5)*('1_GRUPOS'!$F$6:$F$200=$B5)*('1_GRUPOS'!$D$6:$D$200&lt;&gt;"")*'1_GRUPOS'!$D$6:$D$200)</f>
        <v>0</v>
      </c>
      <c r="G5" s="14">
        <f t="shared" si="0"/>
        <v>0</v>
      </c>
      <c r="H5" s="14">
        <f t="shared" si="1"/>
        <v>4</v>
      </c>
      <c r="I5" s="11"/>
      <c r="J5" s="11"/>
      <c r="K5" s="15" t="s">
        <v>112</v>
      </c>
      <c r="L5" s="16" t="str">
        <f t="shared" si="2"/>
        <v>🇦🇺 Australia</v>
      </c>
      <c r="M5" s="16" t="str">
        <f t="shared" si="3"/>
        <v>🇵🇾 Paraguay</v>
      </c>
    </row>
    <row r="6" spans="1:13" ht="15" customHeight="1" x14ac:dyDescent="0.2">
      <c r="A6" s="13" t="s">
        <v>88</v>
      </c>
      <c r="B6" s="13" t="s">
        <v>89</v>
      </c>
      <c r="C6" s="13">
        <v>1</v>
      </c>
      <c r="D6" s="14">
        <f>SUMPRODUCT(('1_GRUPOS'!$B$6:$B$200=$A6)*('1_GRUPOS'!$C$6:$C$200=$B6)*('1_GRUPOS'!$D$6:$D$200&lt;&gt;"")*('1_GRUPOS'!$E$6:$E$200&lt;&gt;"")*((('1_GRUPOS'!$D$6:$D$200&gt;'1_GRUPOS'!$E$6:$E$200)*3)+('1_GRUPOS'!$D$6:$D$200='1_GRUPOS'!$E$6:$E$200)))+SUMPRODUCT(('1_GRUPOS'!$B$6:$B$200=$A6)*('1_GRUPOS'!$F$6:$F$200=$B6)*('1_GRUPOS'!$D$6:$D$200&lt;&gt;"")*('1_GRUPOS'!$E$6:$E$200&lt;&gt;"")*((('1_GRUPOS'!$E$6:$E$200&gt;'1_GRUPOS'!$D$6:$D$200)*3)+('1_GRUPOS'!$D$6:$D$200='1_GRUPOS'!$E$6:$E$200)))</f>
        <v>0</v>
      </c>
      <c r="E6" s="14">
        <f>SUMPRODUCT(('1_GRUPOS'!$B$6:$B$200=$A6)*('1_GRUPOS'!$C$6:$C$200=$B6)*('1_GRUPOS'!$D$6:$D$200&lt;&gt;"")*'1_GRUPOS'!$D$6:$D$200)+SUMPRODUCT(('1_GRUPOS'!$B$6:$B$200=$A6)*('1_GRUPOS'!$F$6:$F$200=$B6)*('1_GRUPOS'!$E$6:$E$200&lt;&gt;"")*'1_GRUPOS'!$E$6:$E$200)</f>
        <v>0</v>
      </c>
      <c r="F6" s="14">
        <f>SUMPRODUCT(('1_GRUPOS'!$B$6:$B$200=$A6)*('1_GRUPOS'!$C$6:$C$200=$B6)*('1_GRUPOS'!$E$6:$E$200&lt;&gt;"")*'1_GRUPOS'!$E$6:$E$200)+SUMPRODUCT(('1_GRUPOS'!$B$6:$B$200=$A6)*('1_GRUPOS'!$F$6:$F$200=$B6)*('1_GRUPOS'!$D$6:$D$200&lt;&gt;"")*'1_GRUPOS'!$D$6:$D$200)</f>
        <v>0</v>
      </c>
      <c r="G6" s="14">
        <f t="shared" si="0"/>
        <v>0</v>
      </c>
      <c r="H6" s="14">
        <f t="shared" si="1"/>
        <v>1</v>
      </c>
      <c r="I6" s="11"/>
      <c r="J6" s="11"/>
      <c r="K6" s="15" t="s">
        <v>123</v>
      </c>
      <c r="L6" s="16" t="str">
        <f t="shared" si="2"/>
        <v>🇨🇮 Costa de Marfil</v>
      </c>
      <c r="M6" s="16" t="str">
        <f t="shared" si="3"/>
        <v>🇨🇼 Curazao</v>
      </c>
    </row>
    <row r="7" spans="1:13" ht="15" customHeight="1" x14ac:dyDescent="0.2">
      <c r="A7" s="13" t="s">
        <v>88</v>
      </c>
      <c r="B7" s="13" t="s">
        <v>90</v>
      </c>
      <c r="C7" s="13">
        <v>2</v>
      </c>
      <c r="D7" s="14">
        <f>SUMPRODUCT(('1_GRUPOS'!$B$6:$B$200=$A7)*('1_GRUPOS'!$C$6:$C$200=$B7)*('1_GRUPOS'!$D$6:$D$200&lt;&gt;"")*('1_GRUPOS'!$E$6:$E$200&lt;&gt;"")*((('1_GRUPOS'!$D$6:$D$200&gt;'1_GRUPOS'!$E$6:$E$200)*3)+('1_GRUPOS'!$D$6:$D$200='1_GRUPOS'!$E$6:$E$200)))+SUMPRODUCT(('1_GRUPOS'!$B$6:$B$200=$A7)*('1_GRUPOS'!$F$6:$F$200=$B7)*('1_GRUPOS'!$D$6:$D$200&lt;&gt;"")*('1_GRUPOS'!$E$6:$E$200&lt;&gt;"")*((('1_GRUPOS'!$E$6:$E$200&gt;'1_GRUPOS'!$D$6:$D$200)*3)+('1_GRUPOS'!$D$6:$D$200='1_GRUPOS'!$E$6:$E$200)))</f>
        <v>0</v>
      </c>
      <c r="E7" s="14">
        <f>SUMPRODUCT(('1_GRUPOS'!$B$6:$B$200=$A7)*('1_GRUPOS'!$C$6:$C$200=$B7)*('1_GRUPOS'!$D$6:$D$200&lt;&gt;"")*'1_GRUPOS'!$D$6:$D$200)+SUMPRODUCT(('1_GRUPOS'!$B$6:$B$200=$A7)*('1_GRUPOS'!$F$6:$F$200=$B7)*('1_GRUPOS'!$E$6:$E$200&lt;&gt;"")*'1_GRUPOS'!$E$6:$E$200)</f>
        <v>0</v>
      </c>
      <c r="F7" s="14">
        <f>SUMPRODUCT(('1_GRUPOS'!$B$6:$B$200=$A7)*('1_GRUPOS'!$C$6:$C$200=$B7)*('1_GRUPOS'!$E$6:$E$200&lt;&gt;"")*'1_GRUPOS'!$E$6:$E$200)+SUMPRODUCT(('1_GRUPOS'!$B$6:$B$200=$A7)*('1_GRUPOS'!$F$6:$F$200=$B7)*('1_GRUPOS'!$D$6:$D$200&lt;&gt;"")*'1_GRUPOS'!$D$6:$D$200)</f>
        <v>0</v>
      </c>
      <c r="G7" s="14">
        <f t="shared" si="0"/>
        <v>0</v>
      </c>
      <c r="H7" s="14">
        <f t="shared" si="1"/>
        <v>4</v>
      </c>
      <c r="I7" s="11"/>
      <c r="J7" s="11"/>
      <c r="K7" s="15" t="s">
        <v>134</v>
      </c>
      <c r="L7" s="16" t="str">
        <f t="shared" si="2"/>
        <v>🇯🇵 Japón</v>
      </c>
      <c r="M7" s="16" t="str">
        <f t="shared" si="3"/>
        <v>🇳🇱 Países Bajos</v>
      </c>
    </row>
    <row r="8" spans="1:13" ht="15" customHeight="1" x14ac:dyDescent="0.2">
      <c r="A8" s="13" t="s">
        <v>88</v>
      </c>
      <c r="B8" s="13" t="s">
        <v>92</v>
      </c>
      <c r="C8" s="13">
        <v>3</v>
      </c>
      <c r="D8" s="14">
        <f>SUMPRODUCT(('1_GRUPOS'!$B$6:$B$200=$A8)*('1_GRUPOS'!$C$6:$C$200=$B8)*('1_GRUPOS'!$D$6:$D$200&lt;&gt;"")*('1_GRUPOS'!$E$6:$E$200&lt;&gt;"")*((('1_GRUPOS'!$D$6:$D$200&gt;'1_GRUPOS'!$E$6:$E$200)*3)+('1_GRUPOS'!$D$6:$D$200='1_GRUPOS'!$E$6:$E$200)))+SUMPRODUCT(('1_GRUPOS'!$B$6:$B$200=$A8)*('1_GRUPOS'!$F$6:$F$200=$B8)*('1_GRUPOS'!$D$6:$D$200&lt;&gt;"")*('1_GRUPOS'!$E$6:$E$200&lt;&gt;"")*((('1_GRUPOS'!$E$6:$E$200&gt;'1_GRUPOS'!$D$6:$D$200)*3)+('1_GRUPOS'!$D$6:$D$200='1_GRUPOS'!$E$6:$E$200)))</f>
        <v>0</v>
      </c>
      <c r="E8" s="14">
        <f>SUMPRODUCT(('1_GRUPOS'!$B$6:$B$200=$A8)*('1_GRUPOS'!$C$6:$C$200=$B8)*('1_GRUPOS'!$D$6:$D$200&lt;&gt;"")*'1_GRUPOS'!$D$6:$D$200)+SUMPRODUCT(('1_GRUPOS'!$B$6:$B$200=$A8)*('1_GRUPOS'!$F$6:$F$200=$B8)*('1_GRUPOS'!$E$6:$E$200&lt;&gt;"")*'1_GRUPOS'!$E$6:$E$200)</f>
        <v>0</v>
      </c>
      <c r="F8" s="14">
        <f>SUMPRODUCT(('1_GRUPOS'!$B$6:$B$200=$A8)*('1_GRUPOS'!$C$6:$C$200=$B8)*('1_GRUPOS'!$E$6:$E$200&lt;&gt;"")*'1_GRUPOS'!$E$6:$E$200)+SUMPRODUCT(('1_GRUPOS'!$B$6:$B$200=$A8)*('1_GRUPOS'!$F$6:$F$200=$B8)*('1_GRUPOS'!$D$6:$D$200&lt;&gt;"")*'1_GRUPOS'!$D$6:$D$200)</f>
        <v>0</v>
      </c>
      <c r="G8" s="14">
        <f t="shared" si="0"/>
        <v>0</v>
      </c>
      <c r="H8" s="14">
        <f t="shared" si="1"/>
        <v>3</v>
      </c>
      <c r="I8" s="11"/>
      <c r="J8" s="11"/>
      <c r="K8" s="15" t="s">
        <v>145</v>
      </c>
      <c r="L8" s="16" t="str">
        <f t="shared" si="2"/>
        <v>🇧🇪 Bélgica</v>
      </c>
      <c r="M8" s="16" t="str">
        <f t="shared" si="3"/>
        <v>🇪🇬 Egipto</v>
      </c>
    </row>
    <row r="9" spans="1:13" ht="15" customHeight="1" x14ac:dyDescent="0.2">
      <c r="A9" s="13" t="s">
        <v>88</v>
      </c>
      <c r="B9" s="13" t="s">
        <v>96</v>
      </c>
      <c r="C9" s="13">
        <v>4</v>
      </c>
      <c r="D9" s="14">
        <f>SUMPRODUCT(('1_GRUPOS'!$B$6:$B$200=$A9)*('1_GRUPOS'!$C$6:$C$200=$B9)*('1_GRUPOS'!$D$6:$D$200&lt;&gt;"")*('1_GRUPOS'!$E$6:$E$200&lt;&gt;"")*((('1_GRUPOS'!$D$6:$D$200&gt;'1_GRUPOS'!$E$6:$E$200)*3)+('1_GRUPOS'!$D$6:$D$200='1_GRUPOS'!$E$6:$E$200)))+SUMPRODUCT(('1_GRUPOS'!$B$6:$B$200=$A9)*('1_GRUPOS'!$F$6:$F$200=$B9)*('1_GRUPOS'!$D$6:$D$200&lt;&gt;"")*('1_GRUPOS'!$E$6:$E$200&lt;&gt;"")*((('1_GRUPOS'!$E$6:$E$200&gt;'1_GRUPOS'!$D$6:$D$200)*3)+('1_GRUPOS'!$D$6:$D$200='1_GRUPOS'!$E$6:$E$200)))</f>
        <v>0</v>
      </c>
      <c r="E9" s="14">
        <f>SUMPRODUCT(('1_GRUPOS'!$B$6:$B$200=$A9)*('1_GRUPOS'!$C$6:$C$200=$B9)*('1_GRUPOS'!$D$6:$D$200&lt;&gt;"")*'1_GRUPOS'!$D$6:$D$200)+SUMPRODUCT(('1_GRUPOS'!$B$6:$B$200=$A9)*('1_GRUPOS'!$F$6:$F$200=$B9)*('1_GRUPOS'!$E$6:$E$200&lt;&gt;"")*'1_GRUPOS'!$E$6:$E$200)</f>
        <v>0</v>
      </c>
      <c r="F9" s="14">
        <f>SUMPRODUCT(('1_GRUPOS'!$B$6:$B$200=$A9)*('1_GRUPOS'!$C$6:$C$200=$B9)*('1_GRUPOS'!$E$6:$E$200&lt;&gt;"")*'1_GRUPOS'!$E$6:$E$200)+SUMPRODUCT(('1_GRUPOS'!$B$6:$B$200=$A9)*('1_GRUPOS'!$F$6:$F$200=$B9)*('1_GRUPOS'!$D$6:$D$200&lt;&gt;"")*'1_GRUPOS'!$D$6:$D$200)</f>
        <v>0</v>
      </c>
      <c r="G9" s="14">
        <f t="shared" si="0"/>
        <v>0</v>
      </c>
      <c r="H9" s="14">
        <f t="shared" si="1"/>
        <v>2</v>
      </c>
      <c r="I9" s="11"/>
      <c r="J9" s="11"/>
      <c r="K9" s="15" t="s">
        <v>156</v>
      </c>
      <c r="L9" s="16" t="str">
        <f t="shared" si="2"/>
        <v>🇨🇻 Cabo Verde</v>
      </c>
      <c r="M9" s="16" t="str">
        <f t="shared" si="3"/>
        <v>🇪🇸 España</v>
      </c>
    </row>
    <row r="10" spans="1:13" ht="15" customHeight="1" x14ac:dyDescent="0.2">
      <c r="A10" s="13" t="s">
        <v>101</v>
      </c>
      <c r="B10" s="13" t="s">
        <v>102</v>
      </c>
      <c r="C10" s="13">
        <v>1</v>
      </c>
      <c r="D10" s="14">
        <f>SUMPRODUCT(('1_GRUPOS'!$B$6:$B$200=$A10)*('1_GRUPOS'!$C$6:$C$200=$B10)*('1_GRUPOS'!$D$6:$D$200&lt;&gt;"")*('1_GRUPOS'!$E$6:$E$200&lt;&gt;"")*((('1_GRUPOS'!$D$6:$D$200&gt;'1_GRUPOS'!$E$6:$E$200)*3)+('1_GRUPOS'!$D$6:$D$200='1_GRUPOS'!$E$6:$E$200)))+SUMPRODUCT(('1_GRUPOS'!$B$6:$B$200=$A10)*('1_GRUPOS'!$F$6:$F$200=$B10)*('1_GRUPOS'!$D$6:$D$200&lt;&gt;"")*('1_GRUPOS'!$E$6:$E$200&lt;&gt;"")*((('1_GRUPOS'!$E$6:$E$200&gt;'1_GRUPOS'!$D$6:$D$200)*3)+('1_GRUPOS'!$D$6:$D$200='1_GRUPOS'!$E$6:$E$200)))</f>
        <v>0</v>
      </c>
      <c r="E10" s="14">
        <f>SUMPRODUCT(('1_GRUPOS'!$B$6:$B$200=$A10)*('1_GRUPOS'!$C$6:$C$200=$B10)*('1_GRUPOS'!$D$6:$D$200&lt;&gt;"")*'1_GRUPOS'!$D$6:$D$200)+SUMPRODUCT(('1_GRUPOS'!$B$6:$B$200=$A10)*('1_GRUPOS'!$F$6:$F$200=$B10)*('1_GRUPOS'!$E$6:$E$200&lt;&gt;"")*'1_GRUPOS'!$E$6:$E$200)</f>
        <v>0</v>
      </c>
      <c r="F10" s="14">
        <f>SUMPRODUCT(('1_GRUPOS'!$B$6:$B$200=$A10)*('1_GRUPOS'!$C$6:$C$200=$B10)*('1_GRUPOS'!$E$6:$E$200&lt;&gt;"")*'1_GRUPOS'!$E$6:$E$200)+SUMPRODUCT(('1_GRUPOS'!$B$6:$B$200=$A10)*('1_GRUPOS'!$F$6:$F$200=$B10)*('1_GRUPOS'!$D$6:$D$200&lt;&gt;"")*'1_GRUPOS'!$D$6:$D$200)</f>
        <v>0</v>
      </c>
      <c r="G10" s="14">
        <f t="shared" si="0"/>
        <v>0</v>
      </c>
      <c r="H10" s="14">
        <f t="shared" si="1"/>
        <v>1</v>
      </c>
      <c r="I10" s="11"/>
      <c r="J10" s="11"/>
      <c r="K10" s="15" t="s">
        <v>167</v>
      </c>
      <c r="L10" s="16" t="str">
        <f t="shared" si="2"/>
        <v>🇫🇷 Francia</v>
      </c>
      <c r="M10" s="16" t="str">
        <f t="shared" si="3"/>
        <v>🇳🇴 Noruega</v>
      </c>
    </row>
    <row r="11" spans="1:13" ht="15" customHeight="1" x14ac:dyDescent="0.2">
      <c r="A11" s="13" t="s">
        <v>101</v>
      </c>
      <c r="B11" s="13" t="s">
        <v>103</v>
      </c>
      <c r="C11" s="13">
        <v>2</v>
      </c>
      <c r="D11" s="14">
        <f>SUMPRODUCT(('1_GRUPOS'!$B$6:$B$200=$A11)*('1_GRUPOS'!$C$6:$C$200=$B11)*('1_GRUPOS'!$D$6:$D$200&lt;&gt;"")*('1_GRUPOS'!$E$6:$E$200&lt;&gt;"")*((('1_GRUPOS'!$D$6:$D$200&gt;'1_GRUPOS'!$E$6:$E$200)*3)+('1_GRUPOS'!$D$6:$D$200='1_GRUPOS'!$E$6:$E$200)))+SUMPRODUCT(('1_GRUPOS'!$B$6:$B$200=$A11)*('1_GRUPOS'!$F$6:$F$200=$B11)*('1_GRUPOS'!$D$6:$D$200&lt;&gt;"")*('1_GRUPOS'!$E$6:$E$200&lt;&gt;"")*((('1_GRUPOS'!$E$6:$E$200&gt;'1_GRUPOS'!$D$6:$D$200)*3)+('1_GRUPOS'!$D$6:$D$200='1_GRUPOS'!$E$6:$E$200)))</f>
        <v>0</v>
      </c>
      <c r="E11" s="14">
        <f>SUMPRODUCT(('1_GRUPOS'!$B$6:$B$200=$A11)*('1_GRUPOS'!$C$6:$C$200=$B11)*('1_GRUPOS'!$D$6:$D$200&lt;&gt;"")*'1_GRUPOS'!$D$6:$D$200)+SUMPRODUCT(('1_GRUPOS'!$B$6:$B$200=$A11)*('1_GRUPOS'!$F$6:$F$200=$B11)*('1_GRUPOS'!$E$6:$E$200&lt;&gt;"")*'1_GRUPOS'!$E$6:$E$200)</f>
        <v>0</v>
      </c>
      <c r="F11" s="14">
        <f>SUMPRODUCT(('1_GRUPOS'!$B$6:$B$200=$A11)*('1_GRUPOS'!$C$6:$C$200=$B11)*('1_GRUPOS'!$E$6:$E$200&lt;&gt;"")*'1_GRUPOS'!$E$6:$E$200)+SUMPRODUCT(('1_GRUPOS'!$B$6:$B$200=$A11)*('1_GRUPOS'!$F$6:$F$200=$B11)*('1_GRUPOS'!$D$6:$D$200&lt;&gt;"")*'1_GRUPOS'!$D$6:$D$200)</f>
        <v>0</v>
      </c>
      <c r="G11" s="14">
        <f t="shared" si="0"/>
        <v>0</v>
      </c>
      <c r="H11" s="14">
        <f t="shared" si="1"/>
        <v>3</v>
      </c>
      <c r="I11" s="11"/>
      <c r="J11" s="11"/>
      <c r="K11" s="15" t="s">
        <v>178</v>
      </c>
      <c r="L11" s="16" t="str">
        <f t="shared" si="2"/>
        <v>🇦🇷 Argentina</v>
      </c>
      <c r="M11" s="16" t="str">
        <f t="shared" si="3"/>
        <v>🇦🇹 Austria</v>
      </c>
    </row>
    <row r="12" spans="1:13" ht="15" customHeight="1" x14ac:dyDescent="0.2">
      <c r="A12" s="13" t="s">
        <v>101</v>
      </c>
      <c r="B12" s="13" t="s">
        <v>105</v>
      </c>
      <c r="C12" s="13">
        <v>3</v>
      </c>
      <c r="D12" s="14">
        <f>SUMPRODUCT(('1_GRUPOS'!$B$6:$B$200=$A12)*('1_GRUPOS'!$C$6:$C$200=$B12)*('1_GRUPOS'!$D$6:$D$200&lt;&gt;"")*('1_GRUPOS'!$E$6:$E$200&lt;&gt;"")*((('1_GRUPOS'!$D$6:$D$200&gt;'1_GRUPOS'!$E$6:$E$200)*3)+('1_GRUPOS'!$D$6:$D$200='1_GRUPOS'!$E$6:$E$200)))+SUMPRODUCT(('1_GRUPOS'!$B$6:$B$200=$A12)*('1_GRUPOS'!$F$6:$F$200=$B12)*('1_GRUPOS'!$D$6:$D$200&lt;&gt;"")*('1_GRUPOS'!$E$6:$E$200&lt;&gt;"")*((('1_GRUPOS'!$E$6:$E$200&gt;'1_GRUPOS'!$D$6:$D$200)*3)+('1_GRUPOS'!$D$6:$D$200='1_GRUPOS'!$E$6:$E$200)))</f>
        <v>0</v>
      </c>
      <c r="E12" s="14">
        <f>SUMPRODUCT(('1_GRUPOS'!$B$6:$B$200=$A12)*('1_GRUPOS'!$C$6:$C$200=$B12)*('1_GRUPOS'!$D$6:$D$200&lt;&gt;"")*'1_GRUPOS'!$D$6:$D$200)+SUMPRODUCT(('1_GRUPOS'!$B$6:$B$200=$A12)*('1_GRUPOS'!$F$6:$F$200=$B12)*('1_GRUPOS'!$E$6:$E$200&lt;&gt;"")*'1_GRUPOS'!$E$6:$E$200)</f>
        <v>0</v>
      </c>
      <c r="F12" s="14">
        <f>SUMPRODUCT(('1_GRUPOS'!$B$6:$B$200=$A12)*('1_GRUPOS'!$C$6:$C$200=$B12)*('1_GRUPOS'!$E$6:$E$200&lt;&gt;"")*'1_GRUPOS'!$E$6:$E$200)+SUMPRODUCT(('1_GRUPOS'!$B$6:$B$200=$A12)*('1_GRUPOS'!$F$6:$F$200=$B12)*('1_GRUPOS'!$D$6:$D$200&lt;&gt;"")*'1_GRUPOS'!$D$6:$D$200)</f>
        <v>0</v>
      </c>
      <c r="G12" s="14">
        <f t="shared" si="0"/>
        <v>0</v>
      </c>
      <c r="H12" s="14">
        <f t="shared" si="1"/>
        <v>2</v>
      </c>
      <c r="I12" s="11"/>
      <c r="J12" s="11"/>
      <c r="K12" s="15" t="s">
        <v>189</v>
      </c>
      <c r="L12" s="16" t="str">
        <f t="shared" si="2"/>
        <v>🇨🇴 Colombia</v>
      </c>
      <c r="M12" s="16" t="str">
        <f t="shared" si="3"/>
        <v>🇵🇹 Portugal</v>
      </c>
    </row>
    <row r="13" spans="1:13" ht="15" customHeight="1" x14ac:dyDescent="0.2">
      <c r="A13" s="13" t="s">
        <v>101</v>
      </c>
      <c r="B13" s="13" t="s">
        <v>107</v>
      </c>
      <c r="C13" s="13">
        <v>4</v>
      </c>
      <c r="D13" s="14">
        <f>SUMPRODUCT(('1_GRUPOS'!$B$6:$B$200=$A13)*('1_GRUPOS'!$C$6:$C$200=$B13)*('1_GRUPOS'!$D$6:$D$200&lt;&gt;"")*('1_GRUPOS'!$E$6:$E$200&lt;&gt;"")*((('1_GRUPOS'!$D$6:$D$200&gt;'1_GRUPOS'!$E$6:$E$200)*3)+('1_GRUPOS'!$D$6:$D$200='1_GRUPOS'!$E$6:$E$200)))+SUMPRODUCT(('1_GRUPOS'!$B$6:$B$200=$A13)*('1_GRUPOS'!$F$6:$F$200=$B13)*('1_GRUPOS'!$D$6:$D$200&lt;&gt;"")*('1_GRUPOS'!$E$6:$E$200&lt;&gt;"")*((('1_GRUPOS'!$E$6:$E$200&gt;'1_GRUPOS'!$D$6:$D$200)*3)+('1_GRUPOS'!$D$6:$D$200='1_GRUPOS'!$E$6:$E$200)))</f>
        <v>0</v>
      </c>
      <c r="E13" s="14">
        <f>SUMPRODUCT(('1_GRUPOS'!$B$6:$B$200=$A13)*('1_GRUPOS'!$C$6:$C$200=$B13)*('1_GRUPOS'!$D$6:$D$200&lt;&gt;"")*'1_GRUPOS'!$D$6:$D$200)+SUMPRODUCT(('1_GRUPOS'!$B$6:$B$200=$A13)*('1_GRUPOS'!$F$6:$F$200=$B13)*('1_GRUPOS'!$E$6:$E$200&lt;&gt;"")*'1_GRUPOS'!$E$6:$E$200)</f>
        <v>0</v>
      </c>
      <c r="F13" s="14">
        <f>SUMPRODUCT(('1_GRUPOS'!$B$6:$B$200=$A13)*('1_GRUPOS'!$C$6:$C$200=$B13)*('1_GRUPOS'!$E$6:$E$200&lt;&gt;"")*'1_GRUPOS'!$E$6:$E$200)+SUMPRODUCT(('1_GRUPOS'!$B$6:$B$200=$A13)*('1_GRUPOS'!$F$6:$F$200=$B13)*('1_GRUPOS'!$D$6:$D$200&lt;&gt;"")*'1_GRUPOS'!$D$6:$D$200)</f>
        <v>0</v>
      </c>
      <c r="G13" s="14">
        <f t="shared" si="0"/>
        <v>0</v>
      </c>
      <c r="H13" s="14">
        <f t="shared" si="1"/>
        <v>4</v>
      </c>
      <c r="I13" s="11"/>
      <c r="J13" s="11"/>
      <c r="K13" s="15" t="s">
        <v>200</v>
      </c>
      <c r="L13" s="16" t="str">
        <f t="shared" si="2"/>
        <v>🇬🇭 Ghana</v>
      </c>
      <c r="M13" s="16" t="str">
        <f t="shared" si="3"/>
        <v>🇭🇷 Croacia</v>
      </c>
    </row>
    <row r="14" spans="1:13" ht="15" customHeight="1" x14ac:dyDescent="0.2">
      <c r="A14" s="13" t="s">
        <v>112</v>
      </c>
      <c r="B14" s="13" t="s">
        <v>113</v>
      </c>
      <c r="C14" s="13">
        <v>1</v>
      </c>
      <c r="D14" s="14">
        <f>SUMPRODUCT(('1_GRUPOS'!$B$6:$B$200=$A14)*('1_GRUPOS'!$C$6:$C$200=$B14)*('1_GRUPOS'!$D$6:$D$200&lt;&gt;"")*('1_GRUPOS'!$E$6:$E$200&lt;&gt;"")*((('1_GRUPOS'!$D$6:$D$200&gt;'1_GRUPOS'!$E$6:$E$200)*3)+('1_GRUPOS'!$D$6:$D$200='1_GRUPOS'!$E$6:$E$200)))+SUMPRODUCT(('1_GRUPOS'!$B$6:$B$200=$A14)*('1_GRUPOS'!$F$6:$F$200=$B14)*('1_GRUPOS'!$D$6:$D$200&lt;&gt;"")*('1_GRUPOS'!$E$6:$E$200&lt;&gt;"")*((('1_GRUPOS'!$E$6:$E$200&gt;'1_GRUPOS'!$D$6:$D$200)*3)+('1_GRUPOS'!$D$6:$D$200='1_GRUPOS'!$E$6:$E$200)))</f>
        <v>0</v>
      </c>
      <c r="E14" s="14">
        <f>SUMPRODUCT(('1_GRUPOS'!$B$6:$B$200=$A14)*('1_GRUPOS'!$C$6:$C$200=$B14)*('1_GRUPOS'!$D$6:$D$200&lt;&gt;"")*'1_GRUPOS'!$D$6:$D$200)+SUMPRODUCT(('1_GRUPOS'!$B$6:$B$200=$A14)*('1_GRUPOS'!$F$6:$F$200=$B14)*('1_GRUPOS'!$E$6:$E$200&lt;&gt;"")*'1_GRUPOS'!$E$6:$E$200)</f>
        <v>0</v>
      </c>
      <c r="F14" s="14">
        <f>SUMPRODUCT(('1_GRUPOS'!$B$6:$B$200=$A14)*('1_GRUPOS'!$C$6:$C$200=$B14)*('1_GRUPOS'!$E$6:$E$200&lt;&gt;"")*'1_GRUPOS'!$E$6:$E$200)+SUMPRODUCT(('1_GRUPOS'!$B$6:$B$200=$A14)*('1_GRUPOS'!$F$6:$F$200=$B14)*('1_GRUPOS'!$D$6:$D$200&lt;&gt;"")*'1_GRUPOS'!$D$6:$D$200)</f>
        <v>0</v>
      </c>
      <c r="G14" s="14">
        <f t="shared" si="0"/>
        <v>0</v>
      </c>
      <c r="H14" s="14">
        <f t="shared" si="1"/>
        <v>3</v>
      </c>
      <c r="K14" s="17"/>
      <c r="L14" s="18"/>
      <c r="M14" s="18"/>
    </row>
    <row r="15" spans="1:13" ht="15" customHeight="1" x14ac:dyDescent="0.2">
      <c r="A15" s="13" t="s">
        <v>112</v>
      </c>
      <c r="B15" s="13" t="s">
        <v>114</v>
      </c>
      <c r="C15" s="13">
        <v>2</v>
      </c>
      <c r="D15" s="14">
        <f>SUMPRODUCT(('1_GRUPOS'!$B$6:$B$200=$A15)*('1_GRUPOS'!$C$6:$C$200=$B15)*('1_GRUPOS'!$D$6:$D$200&lt;&gt;"")*('1_GRUPOS'!$E$6:$E$200&lt;&gt;"")*((('1_GRUPOS'!$D$6:$D$200&gt;'1_GRUPOS'!$E$6:$E$200)*3)+('1_GRUPOS'!$D$6:$D$200='1_GRUPOS'!$E$6:$E$200)))+SUMPRODUCT(('1_GRUPOS'!$B$6:$B$200=$A15)*('1_GRUPOS'!$F$6:$F$200=$B15)*('1_GRUPOS'!$D$6:$D$200&lt;&gt;"")*('1_GRUPOS'!$E$6:$E$200&lt;&gt;"")*((('1_GRUPOS'!$E$6:$E$200&gt;'1_GRUPOS'!$D$6:$D$200)*3)+('1_GRUPOS'!$D$6:$D$200='1_GRUPOS'!$E$6:$E$200)))</f>
        <v>0</v>
      </c>
      <c r="E15" s="14">
        <f>SUMPRODUCT(('1_GRUPOS'!$B$6:$B$200=$A15)*('1_GRUPOS'!$C$6:$C$200=$B15)*('1_GRUPOS'!$D$6:$D$200&lt;&gt;"")*'1_GRUPOS'!$D$6:$D$200)+SUMPRODUCT(('1_GRUPOS'!$B$6:$B$200=$A15)*('1_GRUPOS'!$F$6:$F$200=$B15)*('1_GRUPOS'!$E$6:$E$200&lt;&gt;"")*'1_GRUPOS'!$E$6:$E$200)</f>
        <v>0</v>
      </c>
      <c r="F15" s="14">
        <f>SUMPRODUCT(('1_GRUPOS'!$B$6:$B$200=$A15)*('1_GRUPOS'!$C$6:$C$200=$B15)*('1_GRUPOS'!$E$6:$E$200&lt;&gt;"")*'1_GRUPOS'!$E$6:$E$200)+SUMPRODUCT(('1_GRUPOS'!$B$6:$B$200=$A15)*('1_GRUPOS'!$F$6:$F$200=$B15)*('1_GRUPOS'!$D$6:$D$200&lt;&gt;"")*'1_GRUPOS'!$D$6:$D$200)</f>
        <v>0</v>
      </c>
      <c r="G15" s="14">
        <f t="shared" si="0"/>
        <v>0</v>
      </c>
      <c r="H15" s="14">
        <f t="shared" si="1"/>
        <v>2</v>
      </c>
      <c r="K15" s="17"/>
      <c r="L15" s="18"/>
      <c r="M15" s="18"/>
    </row>
    <row r="16" spans="1:13" ht="15" customHeight="1" x14ac:dyDescent="0.2">
      <c r="A16" s="13" t="s">
        <v>112</v>
      </c>
      <c r="B16" s="13" t="s">
        <v>116</v>
      </c>
      <c r="C16" s="13">
        <v>3</v>
      </c>
      <c r="D16" s="14">
        <f>SUMPRODUCT(('1_GRUPOS'!$B$6:$B$200=$A16)*('1_GRUPOS'!$C$6:$C$200=$B16)*('1_GRUPOS'!$D$6:$D$200&lt;&gt;"")*('1_GRUPOS'!$E$6:$E$200&lt;&gt;"")*((('1_GRUPOS'!$D$6:$D$200&gt;'1_GRUPOS'!$E$6:$E$200)*3)+('1_GRUPOS'!$D$6:$D$200='1_GRUPOS'!$E$6:$E$200)))+SUMPRODUCT(('1_GRUPOS'!$B$6:$B$200=$A16)*('1_GRUPOS'!$F$6:$F$200=$B16)*('1_GRUPOS'!$D$6:$D$200&lt;&gt;"")*('1_GRUPOS'!$E$6:$E$200&lt;&gt;"")*((('1_GRUPOS'!$E$6:$E$200&gt;'1_GRUPOS'!$D$6:$D$200)*3)+('1_GRUPOS'!$D$6:$D$200='1_GRUPOS'!$E$6:$E$200)))</f>
        <v>0</v>
      </c>
      <c r="E16" s="14">
        <f>SUMPRODUCT(('1_GRUPOS'!$B$6:$B$200=$A16)*('1_GRUPOS'!$C$6:$C$200=$B16)*('1_GRUPOS'!$D$6:$D$200&lt;&gt;"")*'1_GRUPOS'!$D$6:$D$200)+SUMPRODUCT(('1_GRUPOS'!$B$6:$B$200=$A16)*('1_GRUPOS'!$F$6:$F$200=$B16)*('1_GRUPOS'!$E$6:$E$200&lt;&gt;"")*'1_GRUPOS'!$E$6:$E$200)</f>
        <v>0</v>
      </c>
      <c r="F16" s="14">
        <f>SUMPRODUCT(('1_GRUPOS'!$B$6:$B$200=$A16)*('1_GRUPOS'!$C$6:$C$200=$B16)*('1_GRUPOS'!$E$6:$E$200&lt;&gt;"")*'1_GRUPOS'!$E$6:$E$200)+SUMPRODUCT(('1_GRUPOS'!$B$6:$B$200=$A16)*('1_GRUPOS'!$F$6:$F$200=$B16)*('1_GRUPOS'!$D$6:$D$200&lt;&gt;"")*'1_GRUPOS'!$D$6:$D$200)</f>
        <v>0</v>
      </c>
      <c r="G16" s="14">
        <f t="shared" si="0"/>
        <v>0</v>
      </c>
      <c r="H16" s="14">
        <f t="shared" si="1"/>
        <v>1</v>
      </c>
      <c r="K16" s="17"/>
      <c r="L16" s="18"/>
      <c r="M16" s="18"/>
    </row>
    <row r="17" spans="1:13" ht="15" customHeight="1" x14ac:dyDescent="0.2">
      <c r="A17" s="13" t="s">
        <v>112</v>
      </c>
      <c r="B17" s="13" t="s">
        <v>118</v>
      </c>
      <c r="C17" s="13">
        <v>4</v>
      </c>
      <c r="D17" s="14">
        <f>SUMPRODUCT(('1_GRUPOS'!$B$6:$B$200=$A17)*('1_GRUPOS'!$C$6:$C$200=$B17)*('1_GRUPOS'!$D$6:$D$200&lt;&gt;"")*('1_GRUPOS'!$E$6:$E$200&lt;&gt;"")*((('1_GRUPOS'!$D$6:$D$200&gt;'1_GRUPOS'!$E$6:$E$200)*3)+('1_GRUPOS'!$D$6:$D$200='1_GRUPOS'!$E$6:$E$200)))+SUMPRODUCT(('1_GRUPOS'!$B$6:$B$200=$A17)*('1_GRUPOS'!$F$6:$F$200=$B17)*('1_GRUPOS'!$D$6:$D$200&lt;&gt;"")*('1_GRUPOS'!$E$6:$E$200&lt;&gt;"")*((('1_GRUPOS'!$E$6:$E$200&gt;'1_GRUPOS'!$D$6:$D$200)*3)+('1_GRUPOS'!$D$6:$D$200='1_GRUPOS'!$E$6:$E$200)))</f>
        <v>0</v>
      </c>
      <c r="E17" s="14">
        <f>SUMPRODUCT(('1_GRUPOS'!$B$6:$B$200=$A17)*('1_GRUPOS'!$C$6:$C$200=$B17)*('1_GRUPOS'!$D$6:$D$200&lt;&gt;"")*'1_GRUPOS'!$D$6:$D$200)+SUMPRODUCT(('1_GRUPOS'!$B$6:$B$200=$A17)*('1_GRUPOS'!$F$6:$F$200=$B17)*('1_GRUPOS'!$E$6:$E$200&lt;&gt;"")*'1_GRUPOS'!$E$6:$E$200)</f>
        <v>0</v>
      </c>
      <c r="F17" s="14">
        <f>SUMPRODUCT(('1_GRUPOS'!$B$6:$B$200=$A17)*('1_GRUPOS'!$C$6:$C$200=$B17)*('1_GRUPOS'!$E$6:$E$200&lt;&gt;"")*'1_GRUPOS'!$E$6:$E$200)+SUMPRODUCT(('1_GRUPOS'!$B$6:$B$200=$A17)*('1_GRUPOS'!$F$6:$F$200=$B17)*('1_GRUPOS'!$D$6:$D$200&lt;&gt;"")*'1_GRUPOS'!$D$6:$D$200)</f>
        <v>0</v>
      </c>
      <c r="G17" s="14">
        <f t="shared" si="0"/>
        <v>0</v>
      </c>
      <c r="H17" s="14">
        <f t="shared" si="1"/>
        <v>4</v>
      </c>
      <c r="K17" s="17"/>
      <c r="L17" s="18"/>
      <c r="M17" s="18"/>
    </row>
    <row r="18" spans="1:13" ht="15" customHeight="1" x14ac:dyDescent="0.2">
      <c r="A18" s="13" t="s">
        <v>123</v>
      </c>
      <c r="B18" s="13" t="s">
        <v>124</v>
      </c>
      <c r="C18" s="13">
        <v>1</v>
      </c>
      <c r="D18" s="14">
        <f>SUMPRODUCT(('1_GRUPOS'!$B$6:$B$200=$A18)*('1_GRUPOS'!$C$6:$C$200=$B18)*('1_GRUPOS'!$D$6:$D$200&lt;&gt;"")*('1_GRUPOS'!$E$6:$E$200&lt;&gt;"")*((('1_GRUPOS'!$D$6:$D$200&gt;'1_GRUPOS'!$E$6:$E$200)*3)+('1_GRUPOS'!$D$6:$D$200='1_GRUPOS'!$E$6:$E$200)))+SUMPRODUCT(('1_GRUPOS'!$B$6:$B$200=$A18)*('1_GRUPOS'!$F$6:$F$200=$B18)*('1_GRUPOS'!$D$6:$D$200&lt;&gt;"")*('1_GRUPOS'!$E$6:$E$200&lt;&gt;"")*((('1_GRUPOS'!$E$6:$E$200&gt;'1_GRUPOS'!$D$6:$D$200)*3)+('1_GRUPOS'!$D$6:$D$200='1_GRUPOS'!$E$6:$E$200)))</f>
        <v>0</v>
      </c>
      <c r="E18" s="14">
        <f>SUMPRODUCT(('1_GRUPOS'!$B$6:$B$200=$A18)*('1_GRUPOS'!$C$6:$C$200=$B18)*('1_GRUPOS'!$D$6:$D$200&lt;&gt;"")*'1_GRUPOS'!$D$6:$D$200)+SUMPRODUCT(('1_GRUPOS'!$B$6:$B$200=$A18)*('1_GRUPOS'!$F$6:$F$200=$B18)*('1_GRUPOS'!$E$6:$E$200&lt;&gt;"")*'1_GRUPOS'!$E$6:$E$200)</f>
        <v>0</v>
      </c>
      <c r="F18" s="14">
        <f>SUMPRODUCT(('1_GRUPOS'!$B$6:$B$200=$A18)*('1_GRUPOS'!$C$6:$C$200=$B18)*('1_GRUPOS'!$E$6:$E$200&lt;&gt;"")*'1_GRUPOS'!$E$6:$E$200)+SUMPRODUCT(('1_GRUPOS'!$B$6:$B$200=$A18)*('1_GRUPOS'!$F$6:$F$200=$B18)*('1_GRUPOS'!$D$6:$D$200&lt;&gt;"")*'1_GRUPOS'!$D$6:$D$200)</f>
        <v>0</v>
      </c>
      <c r="G18" s="14">
        <f t="shared" si="0"/>
        <v>0</v>
      </c>
      <c r="H18" s="14">
        <f t="shared" si="1"/>
        <v>3</v>
      </c>
      <c r="K18" s="17"/>
      <c r="L18" s="18"/>
      <c r="M18" s="18"/>
    </row>
    <row r="19" spans="1:13" ht="15" customHeight="1" x14ac:dyDescent="0.2">
      <c r="A19" s="13" t="s">
        <v>123</v>
      </c>
      <c r="B19" s="13" t="s">
        <v>125</v>
      </c>
      <c r="C19" s="13">
        <v>2</v>
      </c>
      <c r="D19" s="14">
        <f>SUMPRODUCT(('1_GRUPOS'!$B$6:$B$200=$A19)*('1_GRUPOS'!$C$6:$C$200=$B19)*('1_GRUPOS'!$D$6:$D$200&lt;&gt;"")*('1_GRUPOS'!$E$6:$E$200&lt;&gt;"")*((('1_GRUPOS'!$D$6:$D$200&gt;'1_GRUPOS'!$E$6:$E$200)*3)+('1_GRUPOS'!$D$6:$D$200='1_GRUPOS'!$E$6:$E$200)))+SUMPRODUCT(('1_GRUPOS'!$B$6:$B$200=$A19)*('1_GRUPOS'!$F$6:$F$200=$B19)*('1_GRUPOS'!$D$6:$D$200&lt;&gt;"")*('1_GRUPOS'!$E$6:$E$200&lt;&gt;"")*((('1_GRUPOS'!$E$6:$E$200&gt;'1_GRUPOS'!$D$6:$D$200)*3)+('1_GRUPOS'!$D$6:$D$200='1_GRUPOS'!$E$6:$E$200)))</f>
        <v>0</v>
      </c>
      <c r="E19" s="14">
        <f>SUMPRODUCT(('1_GRUPOS'!$B$6:$B$200=$A19)*('1_GRUPOS'!$C$6:$C$200=$B19)*('1_GRUPOS'!$D$6:$D$200&lt;&gt;"")*'1_GRUPOS'!$D$6:$D$200)+SUMPRODUCT(('1_GRUPOS'!$B$6:$B$200=$A19)*('1_GRUPOS'!$F$6:$F$200=$B19)*('1_GRUPOS'!$E$6:$E$200&lt;&gt;"")*'1_GRUPOS'!$E$6:$E$200)</f>
        <v>0</v>
      </c>
      <c r="F19" s="14">
        <f>SUMPRODUCT(('1_GRUPOS'!$B$6:$B$200=$A19)*('1_GRUPOS'!$C$6:$C$200=$B19)*('1_GRUPOS'!$E$6:$E$200&lt;&gt;"")*'1_GRUPOS'!$E$6:$E$200)+SUMPRODUCT(('1_GRUPOS'!$B$6:$B$200=$A19)*('1_GRUPOS'!$F$6:$F$200=$B19)*('1_GRUPOS'!$D$6:$D$200&lt;&gt;"")*'1_GRUPOS'!$D$6:$D$200)</f>
        <v>0</v>
      </c>
      <c r="G19" s="14">
        <f t="shared" si="0"/>
        <v>0</v>
      </c>
      <c r="H19" s="14">
        <f t="shared" si="1"/>
        <v>2</v>
      </c>
      <c r="K19" s="17"/>
      <c r="L19" s="18"/>
      <c r="M19" s="18"/>
    </row>
    <row r="20" spans="1:13" ht="15" customHeight="1" x14ac:dyDescent="0.2">
      <c r="A20" s="13" t="s">
        <v>123</v>
      </c>
      <c r="B20" s="13" t="s">
        <v>127</v>
      </c>
      <c r="C20" s="13">
        <v>3</v>
      </c>
      <c r="D20" s="14">
        <f>SUMPRODUCT(('1_GRUPOS'!$B$6:$B$200=$A20)*('1_GRUPOS'!$C$6:$C$200=$B20)*('1_GRUPOS'!$D$6:$D$200&lt;&gt;"")*('1_GRUPOS'!$E$6:$E$200&lt;&gt;"")*((('1_GRUPOS'!$D$6:$D$200&gt;'1_GRUPOS'!$E$6:$E$200)*3)+('1_GRUPOS'!$D$6:$D$200='1_GRUPOS'!$E$6:$E$200)))+SUMPRODUCT(('1_GRUPOS'!$B$6:$B$200=$A20)*('1_GRUPOS'!$F$6:$F$200=$B20)*('1_GRUPOS'!$D$6:$D$200&lt;&gt;"")*('1_GRUPOS'!$E$6:$E$200&lt;&gt;"")*((('1_GRUPOS'!$E$6:$E$200&gt;'1_GRUPOS'!$D$6:$D$200)*3)+('1_GRUPOS'!$D$6:$D$200='1_GRUPOS'!$E$6:$E$200)))</f>
        <v>0</v>
      </c>
      <c r="E20" s="14">
        <f>SUMPRODUCT(('1_GRUPOS'!$B$6:$B$200=$A20)*('1_GRUPOS'!$C$6:$C$200=$B20)*('1_GRUPOS'!$D$6:$D$200&lt;&gt;"")*'1_GRUPOS'!$D$6:$D$200)+SUMPRODUCT(('1_GRUPOS'!$B$6:$B$200=$A20)*('1_GRUPOS'!$F$6:$F$200=$B20)*('1_GRUPOS'!$E$6:$E$200&lt;&gt;"")*'1_GRUPOS'!$E$6:$E$200)</f>
        <v>0</v>
      </c>
      <c r="F20" s="14">
        <f>SUMPRODUCT(('1_GRUPOS'!$B$6:$B$200=$A20)*('1_GRUPOS'!$C$6:$C$200=$B20)*('1_GRUPOS'!$E$6:$E$200&lt;&gt;"")*'1_GRUPOS'!$E$6:$E$200)+SUMPRODUCT(('1_GRUPOS'!$B$6:$B$200=$A20)*('1_GRUPOS'!$F$6:$F$200=$B20)*('1_GRUPOS'!$D$6:$D$200&lt;&gt;"")*'1_GRUPOS'!$D$6:$D$200)</f>
        <v>0</v>
      </c>
      <c r="G20" s="14">
        <f t="shared" si="0"/>
        <v>0</v>
      </c>
      <c r="H20" s="14">
        <f t="shared" si="1"/>
        <v>1</v>
      </c>
      <c r="K20" s="17"/>
      <c r="L20" s="18"/>
      <c r="M20" s="18"/>
    </row>
    <row r="21" spans="1:13" ht="15" customHeight="1" x14ac:dyDescent="0.2">
      <c r="A21" s="13" t="s">
        <v>123</v>
      </c>
      <c r="B21" s="13" t="s">
        <v>129</v>
      </c>
      <c r="C21" s="13">
        <v>4</v>
      </c>
      <c r="D21" s="14">
        <f>SUMPRODUCT(('1_GRUPOS'!$B$6:$B$200=$A21)*('1_GRUPOS'!$C$6:$C$200=$B21)*('1_GRUPOS'!$D$6:$D$200&lt;&gt;"")*('1_GRUPOS'!$E$6:$E$200&lt;&gt;"")*((('1_GRUPOS'!$D$6:$D$200&gt;'1_GRUPOS'!$E$6:$E$200)*3)+('1_GRUPOS'!$D$6:$D$200='1_GRUPOS'!$E$6:$E$200)))+SUMPRODUCT(('1_GRUPOS'!$B$6:$B$200=$A21)*('1_GRUPOS'!$F$6:$F$200=$B21)*('1_GRUPOS'!$D$6:$D$200&lt;&gt;"")*('1_GRUPOS'!$E$6:$E$200&lt;&gt;"")*((('1_GRUPOS'!$E$6:$E$200&gt;'1_GRUPOS'!$D$6:$D$200)*3)+('1_GRUPOS'!$D$6:$D$200='1_GRUPOS'!$E$6:$E$200)))</f>
        <v>0</v>
      </c>
      <c r="E21" s="14">
        <f>SUMPRODUCT(('1_GRUPOS'!$B$6:$B$200=$A21)*('1_GRUPOS'!$C$6:$C$200=$B21)*('1_GRUPOS'!$D$6:$D$200&lt;&gt;"")*'1_GRUPOS'!$D$6:$D$200)+SUMPRODUCT(('1_GRUPOS'!$B$6:$B$200=$A21)*('1_GRUPOS'!$F$6:$F$200=$B21)*('1_GRUPOS'!$E$6:$E$200&lt;&gt;"")*'1_GRUPOS'!$E$6:$E$200)</f>
        <v>0</v>
      </c>
      <c r="F21" s="14">
        <f>SUMPRODUCT(('1_GRUPOS'!$B$6:$B$200=$A21)*('1_GRUPOS'!$C$6:$C$200=$B21)*('1_GRUPOS'!$E$6:$E$200&lt;&gt;"")*'1_GRUPOS'!$E$6:$E$200)+SUMPRODUCT(('1_GRUPOS'!$B$6:$B$200=$A21)*('1_GRUPOS'!$F$6:$F$200=$B21)*('1_GRUPOS'!$D$6:$D$200&lt;&gt;"")*'1_GRUPOS'!$D$6:$D$200)</f>
        <v>0</v>
      </c>
      <c r="G21" s="14">
        <f t="shared" si="0"/>
        <v>0</v>
      </c>
      <c r="H21" s="14">
        <f t="shared" si="1"/>
        <v>4</v>
      </c>
      <c r="K21" s="17"/>
      <c r="L21" s="18"/>
      <c r="M21" s="18"/>
    </row>
    <row r="22" spans="1:13" ht="15" customHeight="1" x14ac:dyDescent="0.2">
      <c r="A22" s="13" t="s">
        <v>134</v>
      </c>
      <c r="B22" s="13" t="s">
        <v>135</v>
      </c>
      <c r="C22" s="13">
        <v>1</v>
      </c>
      <c r="D22" s="14">
        <f>SUMPRODUCT(('1_GRUPOS'!$B$6:$B$200=$A22)*('1_GRUPOS'!$C$6:$C$200=$B22)*('1_GRUPOS'!$D$6:$D$200&lt;&gt;"")*('1_GRUPOS'!$E$6:$E$200&lt;&gt;"")*((('1_GRUPOS'!$D$6:$D$200&gt;'1_GRUPOS'!$E$6:$E$200)*3)+('1_GRUPOS'!$D$6:$D$200='1_GRUPOS'!$E$6:$E$200)))+SUMPRODUCT(('1_GRUPOS'!$B$6:$B$200=$A22)*('1_GRUPOS'!$F$6:$F$200=$B22)*('1_GRUPOS'!$D$6:$D$200&lt;&gt;"")*('1_GRUPOS'!$E$6:$E$200&lt;&gt;"")*((('1_GRUPOS'!$E$6:$E$200&gt;'1_GRUPOS'!$D$6:$D$200)*3)+('1_GRUPOS'!$D$6:$D$200='1_GRUPOS'!$E$6:$E$200)))</f>
        <v>0</v>
      </c>
      <c r="E22" s="14">
        <f>SUMPRODUCT(('1_GRUPOS'!$B$6:$B$200=$A22)*('1_GRUPOS'!$C$6:$C$200=$B22)*('1_GRUPOS'!$D$6:$D$200&lt;&gt;"")*'1_GRUPOS'!$D$6:$D$200)+SUMPRODUCT(('1_GRUPOS'!$B$6:$B$200=$A22)*('1_GRUPOS'!$F$6:$F$200=$B22)*('1_GRUPOS'!$E$6:$E$200&lt;&gt;"")*'1_GRUPOS'!$E$6:$E$200)</f>
        <v>0</v>
      </c>
      <c r="F22" s="14">
        <f>SUMPRODUCT(('1_GRUPOS'!$B$6:$B$200=$A22)*('1_GRUPOS'!$C$6:$C$200=$B22)*('1_GRUPOS'!$E$6:$E$200&lt;&gt;"")*'1_GRUPOS'!$E$6:$E$200)+SUMPRODUCT(('1_GRUPOS'!$B$6:$B$200=$A22)*('1_GRUPOS'!$F$6:$F$200=$B22)*('1_GRUPOS'!$D$6:$D$200&lt;&gt;"")*'1_GRUPOS'!$D$6:$D$200)</f>
        <v>0</v>
      </c>
      <c r="G22" s="14">
        <f t="shared" si="0"/>
        <v>0</v>
      </c>
      <c r="H22" s="14">
        <f t="shared" si="1"/>
        <v>2</v>
      </c>
      <c r="K22" s="17"/>
      <c r="L22" s="18"/>
      <c r="M22" s="18"/>
    </row>
    <row r="23" spans="1:13" ht="15" customHeight="1" x14ac:dyDescent="0.2">
      <c r="A23" s="13" t="s">
        <v>134</v>
      </c>
      <c r="B23" s="13" t="s">
        <v>136</v>
      </c>
      <c r="C23" s="13">
        <v>2</v>
      </c>
      <c r="D23" s="14">
        <f>SUMPRODUCT(('1_GRUPOS'!$B$6:$B$200=$A23)*('1_GRUPOS'!$C$6:$C$200=$B23)*('1_GRUPOS'!$D$6:$D$200&lt;&gt;"")*('1_GRUPOS'!$E$6:$E$200&lt;&gt;"")*((('1_GRUPOS'!$D$6:$D$200&gt;'1_GRUPOS'!$E$6:$E$200)*3)+('1_GRUPOS'!$D$6:$D$200='1_GRUPOS'!$E$6:$E$200)))+SUMPRODUCT(('1_GRUPOS'!$B$6:$B$200=$A23)*('1_GRUPOS'!$F$6:$F$200=$B23)*('1_GRUPOS'!$D$6:$D$200&lt;&gt;"")*('1_GRUPOS'!$E$6:$E$200&lt;&gt;"")*((('1_GRUPOS'!$E$6:$E$200&gt;'1_GRUPOS'!$D$6:$D$200)*3)+('1_GRUPOS'!$D$6:$D$200='1_GRUPOS'!$E$6:$E$200)))</f>
        <v>0</v>
      </c>
      <c r="E23" s="14">
        <f>SUMPRODUCT(('1_GRUPOS'!$B$6:$B$200=$A23)*('1_GRUPOS'!$C$6:$C$200=$B23)*('1_GRUPOS'!$D$6:$D$200&lt;&gt;"")*'1_GRUPOS'!$D$6:$D$200)+SUMPRODUCT(('1_GRUPOS'!$B$6:$B$200=$A23)*('1_GRUPOS'!$F$6:$F$200=$B23)*('1_GRUPOS'!$E$6:$E$200&lt;&gt;"")*'1_GRUPOS'!$E$6:$E$200)</f>
        <v>0</v>
      </c>
      <c r="F23" s="14">
        <f>SUMPRODUCT(('1_GRUPOS'!$B$6:$B$200=$A23)*('1_GRUPOS'!$C$6:$C$200=$B23)*('1_GRUPOS'!$E$6:$E$200&lt;&gt;"")*'1_GRUPOS'!$E$6:$E$200)+SUMPRODUCT(('1_GRUPOS'!$B$6:$B$200=$A23)*('1_GRUPOS'!$F$6:$F$200=$B23)*('1_GRUPOS'!$D$6:$D$200&lt;&gt;"")*'1_GRUPOS'!$D$6:$D$200)</f>
        <v>0</v>
      </c>
      <c r="G23" s="14">
        <f t="shared" si="0"/>
        <v>0</v>
      </c>
      <c r="H23" s="14">
        <f t="shared" si="1"/>
        <v>1</v>
      </c>
      <c r="K23" s="17"/>
      <c r="L23" s="18"/>
      <c r="M23" s="18"/>
    </row>
    <row r="24" spans="1:13" ht="15" customHeight="1" x14ac:dyDescent="0.2">
      <c r="A24" s="13" t="s">
        <v>134</v>
      </c>
      <c r="B24" s="13" t="s">
        <v>138</v>
      </c>
      <c r="C24" s="13">
        <v>3</v>
      </c>
      <c r="D24" s="14">
        <f>SUMPRODUCT(('1_GRUPOS'!$B$6:$B$200=$A24)*('1_GRUPOS'!$C$6:$C$200=$B24)*('1_GRUPOS'!$D$6:$D$200&lt;&gt;"")*('1_GRUPOS'!$E$6:$E$200&lt;&gt;"")*((('1_GRUPOS'!$D$6:$D$200&gt;'1_GRUPOS'!$E$6:$E$200)*3)+('1_GRUPOS'!$D$6:$D$200='1_GRUPOS'!$E$6:$E$200)))+SUMPRODUCT(('1_GRUPOS'!$B$6:$B$200=$A24)*('1_GRUPOS'!$F$6:$F$200=$B24)*('1_GRUPOS'!$D$6:$D$200&lt;&gt;"")*('1_GRUPOS'!$E$6:$E$200&lt;&gt;"")*((('1_GRUPOS'!$E$6:$E$200&gt;'1_GRUPOS'!$D$6:$D$200)*3)+('1_GRUPOS'!$D$6:$D$200='1_GRUPOS'!$E$6:$E$200)))</f>
        <v>0</v>
      </c>
      <c r="E24" s="14">
        <f>SUMPRODUCT(('1_GRUPOS'!$B$6:$B$200=$A24)*('1_GRUPOS'!$C$6:$C$200=$B24)*('1_GRUPOS'!$D$6:$D$200&lt;&gt;"")*'1_GRUPOS'!$D$6:$D$200)+SUMPRODUCT(('1_GRUPOS'!$B$6:$B$200=$A24)*('1_GRUPOS'!$F$6:$F$200=$B24)*('1_GRUPOS'!$E$6:$E$200&lt;&gt;"")*'1_GRUPOS'!$E$6:$E$200)</f>
        <v>0</v>
      </c>
      <c r="F24" s="14">
        <f>SUMPRODUCT(('1_GRUPOS'!$B$6:$B$200=$A24)*('1_GRUPOS'!$C$6:$C$200=$B24)*('1_GRUPOS'!$E$6:$E$200&lt;&gt;"")*'1_GRUPOS'!$E$6:$E$200)+SUMPRODUCT(('1_GRUPOS'!$B$6:$B$200=$A24)*('1_GRUPOS'!$F$6:$F$200=$B24)*('1_GRUPOS'!$D$6:$D$200&lt;&gt;"")*'1_GRUPOS'!$D$6:$D$200)</f>
        <v>0</v>
      </c>
      <c r="G24" s="14">
        <f t="shared" si="0"/>
        <v>0</v>
      </c>
      <c r="H24" s="14">
        <f t="shared" si="1"/>
        <v>4</v>
      </c>
      <c r="K24" s="17"/>
      <c r="L24" s="18"/>
      <c r="M24" s="18"/>
    </row>
    <row r="25" spans="1:13" ht="15" customHeight="1" x14ac:dyDescent="0.2">
      <c r="A25" s="13" t="s">
        <v>134</v>
      </c>
      <c r="B25" s="13" t="s">
        <v>140</v>
      </c>
      <c r="C25" s="13">
        <v>4</v>
      </c>
      <c r="D25" s="14">
        <f>SUMPRODUCT(('1_GRUPOS'!$B$6:$B$200=$A25)*('1_GRUPOS'!$C$6:$C$200=$B25)*('1_GRUPOS'!$D$6:$D$200&lt;&gt;"")*('1_GRUPOS'!$E$6:$E$200&lt;&gt;"")*((('1_GRUPOS'!$D$6:$D$200&gt;'1_GRUPOS'!$E$6:$E$200)*3)+('1_GRUPOS'!$D$6:$D$200='1_GRUPOS'!$E$6:$E$200)))+SUMPRODUCT(('1_GRUPOS'!$B$6:$B$200=$A25)*('1_GRUPOS'!$F$6:$F$200=$B25)*('1_GRUPOS'!$D$6:$D$200&lt;&gt;"")*('1_GRUPOS'!$E$6:$E$200&lt;&gt;"")*((('1_GRUPOS'!$E$6:$E$200&gt;'1_GRUPOS'!$D$6:$D$200)*3)+('1_GRUPOS'!$D$6:$D$200='1_GRUPOS'!$E$6:$E$200)))</f>
        <v>0</v>
      </c>
      <c r="E25" s="14">
        <f>SUMPRODUCT(('1_GRUPOS'!$B$6:$B$200=$A25)*('1_GRUPOS'!$C$6:$C$200=$B25)*('1_GRUPOS'!$D$6:$D$200&lt;&gt;"")*'1_GRUPOS'!$D$6:$D$200)+SUMPRODUCT(('1_GRUPOS'!$B$6:$B$200=$A25)*('1_GRUPOS'!$F$6:$F$200=$B25)*('1_GRUPOS'!$E$6:$E$200&lt;&gt;"")*'1_GRUPOS'!$E$6:$E$200)</f>
        <v>0</v>
      </c>
      <c r="F25" s="14">
        <f>SUMPRODUCT(('1_GRUPOS'!$B$6:$B$200=$A25)*('1_GRUPOS'!$C$6:$C$200=$B25)*('1_GRUPOS'!$E$6:$E$200&lt;&gt;"")*'1_GRUPOS'!$E$6:$E$200)+SUMPRODUCT(('1_GRUPOS'!$B$6:$B$200=$A25)*('1_GRUPOS'!$F$6:$F$200=$B25)*('1_GRUPOS'!$D$6:$D$200&lt;&gt;"")*'1_GRUPOS'!$D$6:$D$200)</f>
        <v>0</v>
      </c>
      <c r="G25" s="14">
        <f t="shared" si="0"/>
        <v>0</v>
      </c>
      <c r="H25" s="14">
        <f t="shared" si="1"/>
        <v>3</v>
      </c>
      <c r="K25" s="17"/>
      <c r="L25" s="18"/>
      <c r="M25" s="18"/>
    </row>
    <row r="26" spans="1:13" ht="15" customHeight="1" x14ac:dyDescent="0.2">
      <c r="A26" s="13" t="s">
        <v>145</v>
      </c>
      <c r="B26" s="13" t="s">
        <v>146</v>
      </c>
      <c r="C26" s="13">
        <v>1</v>
      </c>
      <c r="D26" s="14">
        <f>SUMPRODUCT(('1_GRUPOS'!$B$6:$B$200=$A26)*('1_GRUPOS'!$C$6:$C$200=$B26)*('1_GRUPOS'!$D$6:$D$200&lt;&gt;"")*('1_GRUPOS'!$E$6:$E$200&lt;&gt;"")*((('1_GRUPOS'!$D$6:$D$200&gt;'1_GRUPOS'!$E$6:$E$200)*3)+('1_GRUPOS'!$D$6:$D$200='1_GRUPOS'!$E$6:$E$200)))+SUMPRODUCT(('1_GRUPOS'!$B$6:$B$200=$A26)*('1_GRUPOS'!$F$6:$F$200=$B26)*('1_GRUPOS'!$D$6:$D$200&lt;&gt;"")*('1_GRUPOS'!$E$6:$E$200&lt;&gt;"")*((('1_GRUPOS'!$E$6:$E$200&gt;'1_GRUPOS'!$D$6:$D$200)*3)+('1_GRUPOS'!$D$6:$D$200='1_GRUPOS'!$E$6:$E$200)))</f>
        <v>0</v>
      </c>
      <c r="E26" s="14">
        <f>SUMPRODUCT(('1_GRUPOS'!$B$6:$B$200=$A26)*('1_GRUPOS'!$C$6:$C$200=$B26)*('1_GRUPOS'!$D$6:$D$200&lt;&gt;"")*'1_GRUPOS'!$D$6:$D$200)+SUMPRODUCT(('1_GRUPOS'!$B$6:$B$200=$A26)*('1_GRUPOS'!$F$6:$F$200=$B26)*('1_GRUPOS'!$E$6:$E$200&lt;&gt;"")*'1_GRUPOS'!$E$6:$E$200)</f>
        <v>0</v>
      </c>
      <c r="F26" s="14">
        <f>SUMPRODUCT(('1_GRUPOS'!$B$6:$B$200=$A26)*('1_GRUPOS'!$C$6:$C$200=$B26)*('1_GRUPOS'!$E$6:$E$200&lt;&gt;"")*'1_GRUPOS'!$E$6:$E$200)+SUMPRODUCT(('1_GRUPOS'!$B$6:$B$200=$A26)*('1_GRUPOS'!$F$6:$F$200=$B26)*('1_GRUPOS'!$D$6:$D$200&lt;&gt;"")*'1_GRUPOS'!$D$6:$D$200)</f>
        <v>0</v>
      </c>
      <c r="G26" s="14">
        <f t="shared" si="0"/>
        <v>0</v>
      </c>
      <c r="H26" s="14">
        <f t="shared" si="1"/>
        <v>1</v>
      </c>
      <c r="K26" s="17"/>
      <c r="L26" s="18"/>
      <c r="M26" s="18"/>
    </row>
    <row r="27" spans="1:13" ht="15" customHeight="1" x14ac:dyDescent="0.2">
      <c r="A27" s="13" t="s">
        <v>145</v>
      </c>
      <c r="B27" s="13" t="s">
        <v>147</v>
      </c>
      <c r="C27" s="13">
        <v>2</v>
      </c>
      <c r="D27" s="14">
        <f>SUMPRODUCT(('1_GRUPOS'!$B$6:$B$200=$A27)*('1_GRUPOS'!$C$6:$C$200=$B27)*('1_GRUPOS'!$D$6:$D$200&lt;&gt;"")*('1_GRUPOS'!$E$6:$E$200&lt;&gt;"")*((('1_GRUPOS'!$D$6:$D$200&gt;'1_GRUPOS'!$E$6:$E$200)*3)+('1_GRUPOS'!$D$6:$D$200='1_GRUPOS'!$E$6:$E$200)))+SUMPRODUCT(('1_GRUPOS'!$B$6:$B$200=$A27)*('1_GRUPOS'!$F$6:$F$200=$B27)*('1_GRUPOS'!$D$6:$D$200&lt;&gt;"")*('1_GRUPOS'!$E$6:$E$200&lt;&gt;"")*((('1_GRUPOS'!$E$6:$E$200&gt;'1_GRUPOS'!$D$6:$D$200)*3)+('1_GRUPOS'!$D$6:$D$200='1_GRUPOS'!$E$6:$E$200)))</f>
        <v>0</v>
      </c>
      <c r="E27" s="14">
        <f>SUMPRODUCT(('1_GRUPOS'!$B$6:$B$200=$A27)*('1_GRUPOS'!$C$6:$C$200=$B27)*('1_GRUPOS'!$D$6:$D$200&lt;&gt;"")*'1_GRUPOS'!$D$6:$D$200)+SUMPRODUCT(('1_GRUPOS'!$B$6:$B$200=$A27)*('1_GRUPOS'!$F$6:$F$200=$B27)*('1_GRUPOS'!$E$6:$E$200&lt;&gt;"")*'1_GRUPOS'!$E$6:$E$200)</f>
        <v>0</v>
      </c>
      <c r="F27" s="14">
        <f>SUMPRODUCT(('1_GRUPOS'!$B$6:$B$200=$A27)*('1_GRUPOS'!$C$6:$C$200=$B27)*('1_GRUPOS'!$E$6:$E$200&lt;&gt;"")*'1_GRUPOS'!$E$6:$E$200)+SUMPRODUCT(('1_GRUPOS'!$B$6:$B$200=$A27)*('1_GRUPOS'!$F$6:$F$200=$B27)*('1_GRUPOS'!$D$6:$D$200&lt;&gt;"")*'1_GRUPOS'!$D$6:$D$200)</f>
        <v>0</v>
      </c>
      <c r="G27" s="14">
        <f t="shared" si="0"/>
        <v>0</v>
      </c>
      <c r="H27" s="14">
        <f t="shared" si="1"/>
        <v>2</v>
      </c>
      <c r="K27" s="17"/>
      <c r="L27" s="18"/>
      <c r="M27" s="18"/>
    </row>
    <row r="28" spans="1:13" ht="15" customHeight="1" x14ac:dyDescent="0.2">
      <c r="A28" s="13" t="s">
        <v>145</v>
      </c>
      <c r="B28" s="13" t="s">
        <v>149</v>
      </c>
      <c r="C28" s="13">
        <v>3</v>
      </c>
      <c r="D28" s="14">
        <f>SUMPRODUCT(('1_GRUPOS'!$B$6:$B$200=$A28)*('1_GRUPOS'!$C$6:$C$200=$B28)*('1_GRUPOS'!$D$6:$D$200&lt;&gt;"")*('1_GRUPOS'!$E$6:$E$200&lt;&gt;"")*((('1_GRUPOS'!$D$6:$D$200&gt;'1_GRUPOS'!$E$6:$E$200)*3)+('1_GRUPOS'!$D$6:$D$200='1_GRUPOS'!$E$6:$E$200)))+SUMPRODUCT(('1_GRUPOS'!$B$6:$B$200=$A28)*('1_GRUPOS'!$F$6:$F$200=$B28)*('1_GRUPOS'!$D$6:$D$200&lt;&gt;"")*('1_GRUPOS'!$E$6:$E$200&lt;&gt;"")*((('1_GRUPOS'!$E$6:$E$200&gt;'1_GRUPOS'!$D$6:$D$200)*3)+('1_GRUPOS'!$D$6:$D$200='1_GRUPOS'!$E$6:$E$200)))</f>
        <v>0</v>
      </c>
      <c r="E28" s="14">
        <f>SUMPRODUCT(('1_GRUPOS'!$B$6:$B$200=$A28)*('1_GRUPOS'!$C$6:$C$200=$B28)*('1_GRUPOS'!$D$6:$D$200&lt;&gt;"")*'1_GRUPOS'!$D$6:$D$200)+SUMPRODUCT(('1_GRUPOS'!$B$6:$B$200=$A28)*('1_GRUPOS'!$F$6:$F$200=$B28)*('1_GRUPOS'!$E$6:$E$200&lt;&gt;"")*'1_GRUPOS'!$E$6:$E$200)</f>
        <v>0</v>
      </c>
      <c r="F28" s="14">
        <f>SUMPRODUCT(('1_GRUPOS'!$B$6:$B$200=$A28)*('1_GRUPOS'!$C$6:$C$200=$B28)*('1_GRUPOS'!$E$6:$E$200&lt;&gt;"")*'1_GRUPOS'!$E$6:$E$200)+SUMPRODUCT(('1_GRUPOS'!$B$6:$B$200=$A28)*('1_GRUPOS'!$F$6:$F$200=$B28)*('1_GRUPOS'!$D$6:$D$200&lt;&gt;"")*'1_GRUPOS'!$D$6:$D$200)</f>
        <v>0</v>
      </c>
      <c r="G28" s="14">
        <f t="shared" si="0"/>
        <v>0</v>
      </c>
      <c r="H28" s="14">
        <f t="shared" si="1"/>
        <v>3</v>
      </c>
      <c r="K28" s="17"/>
      <c r="L28" s="18"/>
      <c r="M28" s="18"/>
    </row>
    <row r="29" spans="1:13" ht="15" customHeight="1" x14ac:dyDescent="0.2">
      <c r="A29" s="13" t="s">
        <v>145</v>
      </c>
      <c r="B29" s="13" t="s">
        <v>151</v>
      </c>
      <c r="C29" s="13">
        <v>4</v>
      </c>
      <c r="D29" s="14">
        <f>SUMPRODUCT(('1_GRUPOS'!$B$6:$B$200=$A29)*('1_GRUPOS'!$C$6:$C$200=$B29)*('1_GRUPOS'!$D$6:$D$200&lt;&gt;"")*('1_GRUPOS'!$E$6:$E$200&lt;&gt;"")*((('1_GRUPOS'!$D$6:$D$200&gt;'1_GRUPOS'!$E$6:$E$200)*3)+('1_GRUPOS'!$D$6:$D$200='1_GRUPOS'!$E$6:$E$200)))+SUMPRODUCT(('1_GRUPOS'!$B$6:$B$200=$A29)*('1_GRUPOS'!$F$6:$F$200=$B29)*('1_GRUPOS'!$D$6:$D$200&lt;&gt;"")*('1_GRUPOS'!$E$6:$E$200&lt;&gt;"")*((('1_GRUPOS'!$E$6:$E$200&gt;'1_GRUPOS'!$D$6:$D$200)*3)+('1_GRUPOS'!$D$6:$D$200='1_GRUPOS'!$E$6:$E$200)))</f>
        <v>0</v>
      </c>
      <c r="E29" s="14">
        <f>SUMPRODUCT(('1_GRUPOS'!$B$6:$B$200=$A29)*('1_GRUPOS'!$C$6:$C$200=$B29)*('1_GRUPOS'!$D$6:$D$200&lt;&gt;"")*'1_GRUPOS'!$D$6:$D$200)+SUMPRODUCT(('1_GRUPOS'!$B$6:$B$200=$A29)*('1_GRUPOS'!$F$6:$F$200=$B29)*('1_GRUPOS'!$E$6:$E$200&lt;&gt;"")*'1_GRUPOS'!$E$6:$E$200)</f>
        <v>0</v>
      </c>
      <c r="F29" s="14">
        <f>SUMPRODUCT(('1_GRUPOS'!$B$6:$B$200=$A29)*('1_GRUPOS'!$C$6:$C$200=$B29)*('1_GRUPOS'!$E$6:$E$200&lt;&gt;"")*'1_GRUPOS'!$E$6:$E$200)+SUMPRODUCT(('1_GRUPOS'!$B$6:$B$200=$A29)*('1_GRUPOS'!$F$6:$F$200=$B29)*('1_GRUPOS'!$D$6:$D$200&lt;&gt;"")*'1_GRUPOS'!$D$6:$D$200)</f>
        <v>0</v>
      </c>
      <c r="G29" s="14">
        <f t="shared" si="0"/>
        <v>0</v>
      </c>
      <c r="H29" s="14">
        <f t="shared" si="1"/>
        <v>4</v>
      </c>
      <c r="K29" s="17"/>
      <c r="L29" s="18"/>
      <c r="M29" s="18"/>
    </row>
    <row r="30" spans="1:13" ht="15" customHeight="1" x14ac:dyDescent="0.2">
      <c r="A30" s="13" t="s">
        <v>156</v>
      </c>
      <c r="B30" s="13" t="s">
        <v>157</v>
      </c>
      <c r="C30" s="13">
        <v>1</v>
      </c>
      <c r="D30" s="14">
        <f>SUMPRODUCT(('1_GRUPOS'!$B$6:$B$200=$A30)*('1_GRUPOS'!$C$6:$C$200=$B30)*('1_GRUPOS'!$D$6:$D$200&lt;&gt;"")*('1_GRUPOS'!$E$6:$E$200&lt;&gt;"")*((('1_GRUPOS'!$D$6:$D$200&gt;'1_GRUPOS'!$E$6:$E$200)*3)+('1_GRUPOS'!$D$6:$D$200='1_GRUPOS'!$E$6:$E$200)))+SUMPRODUCT(('1_GRUPOS'!$B$6:$B$200=$A30)*('1_GRUPOS'!$F$6:$F$200=$B30)*('1_GRUPOS'!$D$6:$D$200&lt;&gt;"")*('1_GRUPOS'!$E$6:$E$200&lt;&gt;"")*((('1_GRUPOS'!$E$6:$E$200&gt;'1_GRUPOS'!$D$6:$D$200)*3)+('1_GRUPOS'!$D$6:$D$200='1_GRUPOS'!$E$6:$E$200)))</f>
        <v>0</v>
      </c>
      <c r="E30" s="14">
        <f>SUMPRODUCT(('1_GRUPOS'!$B$6:$B$200=$A30)*('1_GRUPOS'!$C$6:$C$200=$B30)*('1_GRUPOS'!$D$6:$D$200&lt;&gt;"")*'1_GRUPOS'!$D$6:$D$200)+SUMPRODUCT(('1_GRUPOS'!$B$6:$B$200=$A30)*('1_GRUPOS'!$F$6:$F$200=$B30)*('1_GRUPOS'!$E$6:$E$200&lt;&gt;"")*'1_GRUPOS'!$E$6:$E$200)</f>
        <v>0</v>
      </c>
      <c r="F30" s="14">
        <f>SUMPRODUCT(('1_GRUPOS'!$B$6:$B$200=$A30)*('1_GRUPOS'!$C$6:$C$200=$B30)*('1_GRUPOS'!$E$6:$E$200&lt;&gt;"")*'1_GRUPOS'!$E$6:$E$200)+SUMPRODUCT(('1_GRUPOS'!$B$6:$B$200=$A30)*('1_GRUPOS'!$F$6:$F$200=$B30)*('1_GRUPOS'!$D$6:$D$200&lt;&gt;"")*'1_GRUPOS'!$D$6:$D$200)</f>
        <v>0</v>
      </c>
      <c r="G30" s="14">
        <f t="shared" si="0"/>
        <v>0</v>
      </c>
      <c r="H30" s="14">
        <f t="shared" si="1"/>
        <v>2</v>
      </c>
      <c r="K30" s="17"/>
      <c r="L30" s="18"/>
      <c r="M30" s="18"/>
    </row>
    <row r="31" spans="1:13" ht="15" customHeight="1" x14ac:dyDescent="0.2">
      <c r="A31" s="13" t="s">
        <v>156</v>
      </c>
      <c r="B31" s="13" t="s">
        <v>158</v>
      </c>
      <c r="C31" s="13">
        <v>2</v>
      </c>
      <c r="D31" s="14">
        <f>SUMPRODUCT(('1_GRUPOS'!$B$6:$B$200=$A31)*('1_GRUPOS'!$C$6:$C$200=$B31)*('1_GRUPOS'!$D$6:$D$200&lt;&gt;"")*('1_GRUPOS'!$E$6:$E$200&lt;&gt;"")*((('1_GRUPOS'!$D$6:$D$200&gt;'1_GRUPOS'!$E$6:$E$200)*3)+('1_GRUPOS'!$D$6:$D$200='1_GRUPOS'!$E$6:$E$200)))+SUMPRODUCT(('1_GRUPOS'!$B$6:$B$200=$A31)*('1_GRUPOS'!$F$6:$F$200=$B31)*('1_GRUPOS'!$D$6:$D$200&lt;&gt;"")*('1_GRUPOS'!$E$6:$E$200&lt;&gt;"")*((('1_GRUPOS'!$E$6:$E$200&gt;'1_GRUPOS'!$D$6:$D$200)*3)+('1_GRUPOS'!$D$6:$D$200='1_GRUPOS'!$E$6:$E$200)))</f>
        <v>0</v>
      </c>
      <c r="E31" s="14">
        <f>SUMPRODUCT(('1_GRUPOS'!$B$6:$B$200=$A31)*('1_GRUPOS'!$C$6:$C$200=$B31)*('1_GRUPOS'!$D$6:$D$200&lt;&gt;"")*'1_GRUPOS'!$D$6:$D$200)+SUMPRODUCT(('1_GRUPOS'!$B$6:$B$200=$A31)*('1_GRUPOS'!$F$6:$F$200=$B31)*('1_GRUPOS'!$E$6:$E$200&lt;&gt;"")*'1_GRUPOS'!$E$6:$E$200)</f>
        <v>0</v>
      </c>
      <c r="F31" s="14">
        <f>SUMPRODUCT(('1_GRUPOS'!$B$6:$B$200=$A31)*('1_GRUPOS'!$C$6:$C$200=$B31)*('1_GRUPOS'!$E$6:$E$200&lt;&gt;"")*'1_GRUPOS'!$E$6:$E$200)+SUMPRODUCT(('1_GRUPOS'!$B$6:$B$200=$A31)*('1_GRUPOS'!$F$6:$F$200=$B31)*('1_GRUPOS'!$D$6:$D$200&lt;&gt;"")*'1_GRUPOS'!$D$6:$D$200)</f>
        <v>0</v>
      </c>
      <c r="G31" s="14">
        <f t="shared" si="0"/>
        <v>0</v>
      </c>
      <c r="H31" s="14">
        <f t="shared" si="1"/>
        <v>1</v>
      </c>
      <c r="K31" s="17"/>
      <c r="L31" s="18"/>
      <c r="M31" s="18"/>
    </row>
    <row r="32" spans="1:13" ht="15" customHeight="1" x14ac:dyDescent="0.2">
      <c r="A32" s="13" t="s">
        <v>156</v>
      </c>
      <c r="B32" s="13" t="s">
        <v>160</v>
      </c>
      <c r="C32" s="13">
        <v>3</v>
      </c>
      <c r="D32" s="14">
        <f>SUMPRODUCT(('1_GRUPOS'!$B$6:$B$200=$A32)*('1_GRUPOS'!$C$6:$C$200=$B32)*('1_GRUPOS'!$D$6:$D$200&lt;&gt;"")*('1_GRUPOS'!$E$6:$E$200&lt;&gt;"")*((('1_GRUPOS'!$D$6:$D$200&gt;'1_GRUPOS'!$E$6:$E$200)*3)+('1_GRUPOS'!$D$6:$D$200='1_GRUPOS'!$E$6:$E$200)))+SUMPRODUCT(('1_GRUPOS'!$B$6:$B$200=$A32)*('1_GRUPOS'!$F$6:$F$200=$B32)*('1_GRUPOS'!$D$6:$D$200&lt;&gt;"")*('1_GRUPOS'!$E$6:$E$200&lt;&gt;"")*((('1_GRUPOS'!$E$6:$E$200&gt;'1_GRUPOS'!$D$6:$D$200)*3)+('1_GRUPOS'!$D$6:$D$200='1_GRUPOS'!$E$6:$E$200)))</f>
        <v>0</v>
      </c>
      <c r="E32" s="14">
        <f>SUMPRODUCT(('1_GRUPOS'!$B$6:$B$200=$A32)*('1_GRUPOS'!$C$6:$C$200=$B32)*('1_GRUPOS'!$D$6:$D$200&lt;&gt;"")*'1_GRUPOS'!$D$6:$D$200)+SUMPRODUCT(('1_GRUPOS'!$B$6:$B$200=$A32)*('1_GRUPOS'!$F$6:$F$200=$B32)*('1_GRUPOS'!$E$6:$E$200&lt;&gt;"")*'1_GRUPOS'!$E$6:$E$200)</f>
        <v>0</v>
      </c>
      <c r="F32" s="14">
        <f>SUMPRODUCT(('1_GRUPOS'!$B$6:$B$200=$A32)*('1_GRUPOS'!$C$6:$C$200=$B32)*('1_GRUPOS'!$E$6:$E$200&lt;&gt;"")*'1_GRUPOS'!$E$6:$E$200)+SUMPRODUCT(('1_GRUPOS'!$B$6:$B$200=$A32)*('1_GRUPOS'!$F$6:$F$200=$B32)*('1_GRUPOS'!$D$6:$D$200&lt;&gt;"")*'1_GRUPOS'!$D$6:$D$200)</f>
        <v>0</v>
      </c>
      <c r="G32" s="14">
        <f t="shared" si="0"/>
        <v>0</v>
      </c>
      <c r="H32" s="14">
        <f t="shared" si="1"/>
        <v>3</v>
      </c>
      <c r="K32" s="17"/>
      <c r="L32" s="18"/>
      <c r="M32" s="18"/>
    </row>
    <row r="33" spans="1:13" ht="15" customHeight="1" x14ac:dyDescent="0.2">
      <c r="A33" s="13" t="s">
        <v>156</v>
      </c>
      <c r="B33" s="13" t="s">
        <v>162</v>
      </c>
      <c r="C33" s="13">
        <v>4</v>
      </c>
      <c r="D33" s="14">
        <f>SUMPRODUCT(('1_GRUPOS'!$B$6:$B$200=$A33)*('1_GRUPOS'!$C$6:$C$200=$B33)*('1_GRUPOS'!$D$6:$D$200&lt;&gt;"")*('1_GRUPOS'!$E$6:$E$200&lt;&gt;"")*((('1_GRUPOS'!$D$6:$D$200&gt;'1_GRUPOS'!$E$6:$E$200)*3)+('1_GRUPOS'!$D$6:$D$200='1_GRUPOS'!$E$6:$E$200)))+SUMPRODUCT(('1_GRUPOS'!$B$6:$B$200=$A33)*('1_GRUPOS'!$F$6:$F$200=$B33)*('1_GRUPOS'!$D$6:$D$200&lt;&gt;"")*('1_GRUPOS'!$E$6:$E$200&lt;&gt;"")*((('1_GRUPOS'!$E$6:$E$200&gt;'1_GRUPOS'!$D$6:$D$200)*3)+('1_GRUPOS'!$D$6:$D$200='1_GRUPOS'!$E$6:$E$200)))</f>
        <v>0</v>
      </c>
      <c r="E33" s="14">
        <f>SUMPRODUCT(('1_GRUPOS'!$B$6:$B$200=$A33)*('1_GRUPOS'!$C$6:$C$200=$B33)*('1_GRUPOS'!$D$6:$D$200&lt;&gt;"")*'1_GRUPOS'!$D$6:$D$200)+SUMPRODUCT(('1_GRUPOS'!$B$6:$B$200=$A33)*('1_GRUPOS'!$F$6:$F$200=$B33)*('1_GRUPOS'!$E$6:$E$200&lt;&gt;"")*'1_GRUPOS'!$E$6:$E$200)</f>
        <v>0</v>
      </c>
      <c r="F33" s="14">
        <f>SUMPRODUCT(('1_GRUPOS'!$B$6:$B$200=$A33)*('1_GRUPOS'!$C$6:$C$200=$B33)*('1_GRUPOS'!$E$6:$E$200&lt;&gt;"")*'1_GRUPOS'!$E$6:$E$200)+SUMPRODUCT(('1_GRUPOS'!$B$6:$B$200=$A33)*('1_GRUPOS'!$F$6:$F$200=$B33)*('1_GRUPOS'!$D$6:$D$200&lt;&gt;"")*'1_GRUPOS'!$D$6:$D$200)</f>
        <v>0</v>
      </c>
      <c r="G33" s="14">
        <f t="shared" si="0"/>
        <v>0</v>
      </c>
      <c r="H33" s="14">
        <f t="shared" si="1"/>
        <v>4</v>
      </c>
      <c r="K33" s="17"/>
      <c r="L33" s="18"/>
      <c r="M33" s="18"/>
    </row>
    <row r="34" spans="1:13" ht="15" customHeight="1" x14ac:dyDescent="0.2">
      <c r="A34" s="13" t="s">
        <v>167</v>
      </c>
      <c r="B34" s="13" t="s">
        <v>168</v>
      </c>
      <c r="C34" s="13">
        <v>1</v>
      </c>
      <c r="D34" s="14">
        <f>SUMPRODUCT(('1_GRUPOS'!$B$6:$B$200=$A34)*('1_GRUPOS'!$C$6:$C$200=$B34)*('1_GRUPOS'!$D$6:$D$200&lt;&gt;"")*('1_GRUPOS'!$E$6:$E$200&lt;&gt;"")*((('1_GRUPOS'!$D$6:$D$200&gt;'1_GRUPOS'!$E$6:$E$200)*3)+('1_GRUPOS'!$D$6:$D$200='1_GRUPOS'!$E$6:$E$200)))+SUMPRODUCT(('1_GRUPOS'!$B$6:$B$200=$A34)*('1_GRUPOS'!$F$6:$F$200=$B34)*('1_GRUPOS'!$D$6:$D$200&lt;&gt;"")*('1_GRUPOS'!$E$6:$E$200&lt;&gt;"")*((('1_GRUPOS'!$E$6:$E$200&gt;'1_GRUPOS'!$D$6:$D$200)*3)+('1_GRUPOS'!$D$6:$D$200='1_GRUPOS'!$E$6:$E$200)))</f>
        <v>0</v>
      </c>
      <c r="E34" s="14">
        <f>SUMPRODUCT(('1_GRUPOS'!$B$6:$B$200=$A34)*('1_GRUPOS'!$C$6:$C$200=$B34)*('1_GRUPOS'!$D$6:$D$200&lt;&gt;"")*'1_GRUPOS'!$D$6:$D$200)+SUMPRODUCT(('1_GRUPOS'!$B$6:$B$200=$A34)*('1_GRUPOS'!$F$6:$F$200=$B34)*('1_GRUPOS'!$E$6:$E$200&lt;&gt;"")*'1_GRUPOS'!$E$6:$E$200)</f>
        <v>0</v>
      </c>
      <c r="F34" s="14">
        <f>SUMPRODUCT(('1_GRUPOS'!$B$6:$B$200=$A34)*('1_GRUPOS'!$C$6:$C$200=$B34)*('1_GRUPOS'!$E$6:$E$200&lt;&gt;"")*'1_GRUPOS'!$E$6:$E$200)+SUMPRODUCT(('1_GRUPOS'!$B$6:$B$200=$A34)*('1_GRUPOS'!$F$6:$F$200=$B34)*('1_GRUPOS'!$D$6:$D$200&lt;&gt;"")*'1_GRUPOS'!$D$6:$D$200)</f>
        <v>0</v>
      </c>
      <c r="G34" s="14">
        <f t="shared" si="0"/>
        <v>0</v>
      </c>
      <c r="H34" s="14">
        <f t="shared" si="1"/>
        <v>1</v>
      </c>
      <c r="K34" s="17"/>
      <c r="L34" s="18"/>
      <c r="M34" s="18"/>
    </row>
    <row r="35" spans="1:13" ht="15" customHeight="1" x14ac:dyDescent="0.2">
      <c r="A35" s="13" t="s">
        <v>167</v>
      </c>
      <c r="B35" s="13" t="s">
        <v>169</v>
      </c>
      <c r="C35" s="13">
        <v>2</v>
      </c>
      <c r="D35" s="14">
        <f>SUMPRODUCT(('1_GRUPOS'!$B$6:$B$200=$A35)*('1_GRUPOS'!$C$6:$C$200=$B35)*('1_GRUPOS'!$D$6:$D$200&lt;&gt;"")*('1_GRUPOS'!$E$6:$E$200&lt;&gt;"")*((('1_GRUPOS'!$D$6:$D$200&gt;'1_GRUPOS'!$E$6:$E$200)*3)+('1_GRUPOS'!$D$6:$D$200='1_GRUPOS'!$E$6:$E$200)))+SUMPRODUCT(('1_GRUPOS'!$B$6:$B$200=$A35)*('1_GRUPOS'!$F$6:$F$200=$B35)*('1_GRUPOS'!$D$6:$D$200&lt;&gt;"")*('1_GRUPOS'!$E$6:$E$200&lt;&gt;"")*((('1_GRUPOS'!$E$6:$E$200&gt;'1_GRUPOS'!$D$6:$D$200)*3)+('1_GRUPOS'!$D$6:$D$200='1_GRUPOS'!$E$6:$E$200)))</f>
        <v>0</v>
      </c>
      <c r="E35" s="14">
        <f>SUMPRODUCT(('1_GRUPOS'!$B$6:$B$200=$A35)*('1_GRUPOS'!$C$6:$C$200=$B35)*('1_GRUPOS'!$D$6:$D$200&lt;&gt;"")*'1_GRUPOS'!$D$6:$D$200)+SUMPRODUCT(('1_GRUPOS'!$B$6:$B$200=$A35)*('1_GRUPOS'!$F$6:$F$200=$B35)*('1_GRUPOS'!$E$6:$E$200&lt;&gt;"")*'1_GRUPOS'!$E$6:$E$200)</f>
        <v>0</v>
      </c>
      <c r="F35" s="14">
        <f>SUMPRODUCT(('1_GRUPOS'!$B$6:$B$200=$A35)*('1_GRUPOS'!$C$6:$C$200=$B35)*('1_GRUPOS'!$E$6:$E$200&lt;&gt;"")*'1_GRUPOS'!$E$6:$E$200)+SUMPRODUCT(('1_GRUPOS'!$B$6:$B$200=$A35)*('1_GRUPOS'!$F$6:$F$200=$B35)*('1_GRUPOS'!$D$6:$D$200&lt;&gt;"")*'1_GRUPOS'!$D$6:$D$200)</f>
        <v>0</v>
      </c>
      <c r="G35" s="14">
        <f t="shared" si="0"/>
        <v>0</v>
      </c>
      <c r="H35" s="14">
        <f t="shared" si="1"/>
        <v>3</v>
      </c>
      <c r="K35" s="17"/>
      <c r="L35" s="18"/>
      <c r="M35" s="18"/>
    </row>
    <row r="36" spans="1:13" ht="15" customHeight="1" x14ac:dyDescent="0.2">
      <c r="A36" s="13" t="s">
        <v>167</v>
      </c>
      <c r="B36" s="13" t="s">
        <v>171</v>
      </c>
      <c r="C36" s="13">
        <v>3</v>
      </c>
      <c r="D36" s="14">
        <f>SUMPRODUCT(('1_GRUPOS'!$B$6:$B$200=$A36)*('1_GRUPOS'!$C$6:$C$200=$B36)*('1_GRUPOS'!$D$6:$D$200&lt;&gt;"")*('1_GRUPOS'!$E$6:$E$200&lt;&gt;"")*((('1_GRUPOS'!$D$6:$D$200&gt;'1_GRUPOS'!$E$6:$E$200)*3)+('1_GRUPOS'!$D$6:$D$200='1_GRUPOS'!$E$6:$E$200)))+SUMPRODUCT(('1_GRUPOS'!$B$6:$B$200=$A36)*('1_GRUPOS'!$F$6:$F$200=$B36)*('1_GRUPOS'!$D$6:$D$200&lt;&gt;"")*('1_GRUPOS'!$E$6:$E$200&lt;&gt;"")*((('1_GRUPOS'!$E$6:$E$200&gt;'1_GRUPOS'!$D$6:$D$200)*3)+('1_GRUPOS'!$D$6:$D$200='1_GRUPOS'!$E$6:$E$200)))</f>
        <v>0</v>
      </c>
      <c r="E36" s="14">
        <f>SUMPRODUCT(('1_GRUPOS'!$B$6:$B$200=$A36)*('1_GRUPOS'!$C$6:$C$200=$B36)*('1_GRUPOS'!$D$6:$D$200&lt;&gt;"")*'1_GRUPOS'!$D$6:$D$200)+SUMPRODUCT(('1_GRUPOS'!$B$6:$B$200=$A36)*('1_GRUPOS'!$F$6:$F$200=$B36)*('1_GRUPOS'!$E$6:$E$200&lt;&gt;"")*'1_GRUPOS'!$E$6:$E$200)</f>
        <v>0</v>
      </c>
      <c r="F36" s="14">
        <f>SUMPRODUCT(('1_GRUPOS'!$B$6:$B$200=$A36)*('1_GRUPOS'!$C$6:$C$200=$B36)*('1_GRUPOS'!$E$6:$E$200&lt;&gt;"")*'1_GRUPOS'!$E$6:$E$200)+SUMPRODUCT(('1_GRUPOS'!$B$6:$B$200=$A36)*('1_GRUPOS'!$F$6:$F$200=$B36)*('1_GRUPOS'!$D$6:$D$200&lt;&gt;"")*'1_GRUPOS'!$D$6:$D$200)</f>
        <v>0</v>
      </c>
      <c r="G36" s="14">
        <f t="shared" si="0"/>
        <v>0</v>
      </c>
      <c r="H36" s="14">
        <f t="shared" si="1"/>
        <v>4</v>
      </c>
      <c r="K36" s="17"/>
      <c r="L36" s="18"/>
      <c r="M36" s="18"/>
    </row>
    <row r="37" spans="1:13" ht="15" customHeight="1" x14ac:dyDescent="0.2">
      <c r="A37" s="13" t="s">
        <v>167</v>
      </c>
      <c r="B37" s="13" t="s">
        <v>173</v>
      </c>
      <c r="C37" s="13">
        <v>4</v>
      </c>
      <c r="D37" s="14">
        <f>SUMPRODUCT(('1_GRUPOS'!$B$6:$B$200=$A37)*('1_GRUPOS'!$C$6:$C$200=$B37)*('1_GRUPOS'!$D$6:$D$200&lt;&gt;"")*('1_GRUPOS'!$E$6:$E$200&lt;&gt;"")*((('1_GRUPOS'!$D$6:$D$200&gt;'1_GRUPOS'!$E$6:$E$200)*3)+('1_GRUPOS'!$D$6:$D$200='1_GRUPOS'!$E$6:$E$200)))+SUMPRODUCT(('1_GRUPOS'!$B$6:$B$200=$A37)*('1_GRUPOS'!$F$6:$F$200=$B37)*('1_GRUPOS'!$D$6:$D$200&lt;&gt;"")*('1_GRUPOS'!$E$6:$E$200&lt;&gt;"")*((('1_GRUPOS'!$E$6:$E$200&gt;'1_GRUPOS'!$D$6:$D$200)*3)+('1_GRUPOS'!$D$6:$D$200='1_GRUPOS'!$E$6:$E$200)))</f>
        <v>0</v>
      </c>
      <c r="E37" s="14">
        <f>SUMPRODUCT(('1_GRUPOS'!$B$6:$B$200=$A37)*('1_GRUPOS'!$C$6:$C$200=$B37)*('1_GRUPOS'!$D$6:$D$200&lt;&gt;"")*'1_GRUPOS'!$D$6:$D$200)+SUMPRODUCT(('1_GRUPOS'!$B$6:$B$200=$A37)*('1_GRUPOS'!$F$6:$F$200=$B37)*('1_GRUPOS'!$E$6:$E$200&lt;&gt;"")*'1_GRUPOS'!$E$6:$E$200)</f>
        <v>0</v>
      </c>
      <c r="F37" s="14">
        <f>SUMPRODUCT(('1_GRUPOS'!$B$6:$B$200=$A37)*('1_GRUPOS'!$C$6:$C$200=$B37)*('1_GRUPOS'!$E$6:$E$200&lt;&gt;"")*'1_GRUPOS'!$E$6:$E$200)+SUMPRODUCT(('1_GRUPOS'!$B$6:$B$200=$A37)*('1_GRUPOS'!$F$6:$F$200=$B37)*('1_GRUPOS'!$D$6:$D$200&lt;&gt;"")*'1_GRUPOS'!$D$6:$D$200)</f>
        <v>0</v>
      </c>
      <c r="G37" s="14">
        <f t="shared" si="0"/>
        <v>0</v>
      </c>
      <c r="H37" s="14">
        <f t="shared" si="1"/>
        <v>2</v>
      </c>
      <c r="K37" s="17"/>
      <c r="L37" s="18"/>
      <c r="M37" s="18"/>
    </row>
    <row r="38" spans="1:13" ht="15" customHeight="1" x14ac:dyDescent="0.2">
      <c r="A38" s="13" t="s">
        <v>178</v>
      </c>
      <c r="B38" s="13" t="s">
        <v>179</v>
      </c>
      <c r="C38" s="13">
        <v>1</v>
      </c>
      <c r="D38" s="14">
        <f>SUMPRODUCT(('1_GRUPOS'!$B$6:$B$200=$A38)*('1_GRUPOS'!$C$6:$C$200=$B38)*('1_GRUPOS'!$D$6:$D$200&lt;&gt;"")*('1_GRUPOS'!$E$6:$E$200&lt;&gt;"")*((('1_GRUPOS'!$D$6:$D$200&gt;'1_GRUPOS'!$E$6:$E$200)*3)+('1_GRUPOS'!$D$6:$D$200='1_GRUPOS'!$E$6:$E$200)))+SUMPRODUCT(('1_GRUPOS'!$B$6:$B$200=$A38)*('1_GRUPOS'!$F$6:$F$200=$B38)*('1_GRUPOS'!$D$6:$D$200&lt;&gt;"")*('1_GRUPOS'!$E$6:$E$200&lt;&gt;"")*((('1_GRUPOS'!$E$6:$E$200&gt;'1_GRUPOS'!$D$6:$D$200)*3)+('1_GRUPOS'!$D$6:$D$200='1_GRUPOS'!$E$6:$E$200)))</f>
        <v>0</v>
      </c>
      <c r="E38" s="14">
        <f>SUMPRODUCT(('1_GRUPOS'!$B$6:$B$200=$A38)*('1_GRUPOS'!$C$6:$C$200=$B38)*('1_GRUPOS'!$D$6:$D$200&lt;&gt;"")*'1_GRUPOS'!$D$6:$D$200)+SUMPRODUCT(('1_GRUPOS'!$B$6:$B$200=$A38)*('1_GRUPOS'!$F$6:$F$200=$B38)*('1_GRUPOS'!$E$6:$E$200&lt;&gt;"")*'1_GRUPOS'!$E$6:$E$200)</f>
        <v>0</v>
      </c>
      <c r="F38" s="14">
        <f>SUMPRODUCT(('1_GRUPOS'!$B$6:$B$200=$A38)*('1_GRUPOS'!$C$6:$C$200=$B38)*('1_GRUPOS'!$E$6:$E$200&lt;&gt;"")*'1_GRUPOS'!$E$6:$E$200)+SUMPRODUCT(('1_GRUPOS'!$B$6:$B$200=$A38)*('1_GRUPOS'!$F$6:$F$200=$B38)*('1_GRUPOS'!$D$6:$D$200&lt;&gt;"")*'1_GRUPOS'!$D$6:$D$200)</f>
        <v>0</v>
      </c>
      <c r="G38" s="14">
        <f t="shared" si="0"/>
        <v>0</v>
      </c>
      <c r="H38" s="14">
        <f t="shared" si="1"/>
        <v>1</v>
      </c>
      <c r="K38" s="17"/>
      <c r="L38" s="18"/>
      <c r="M38" s="18"/>
    </row>
    <row r="39" spans="1:13" ht="15" customHeight="1" x14ac:dyDescent="0.2">
      <c r="A39" s="13" t="s">
        <v>178</v>
      </c>
      <c r="B39" s="13" t="s">
        <v>180</v>
      </c>
      <c r="C39" s="13">
        <v>2</v>
      </c>
      <c r="D39" s="14">
        <f>SUMPRODUCT(('1_GRUPOS'!$B$6:$B$200=$A39)*('1_GRUPOS'!$C$6:$C$200=$B39)*('1_GRUPOS'!$D$6:$D$200&lt;&gt;"")*('1_GRUPOS'!$E$6:$E$200&lt;&gt;"")*((('1_GRUPOS'!$D$6:$D$200&gt;'1_GRUPOS'!$E$6:$E$200)*3)+('1_GRUPOS'!$D$6:$D$200='1_GRUPOS'!$E$6:$E$200)))+SUMPRODUCT(('1_GRUPOS'!$B$6:$B$200=$A39)*('1_GRUPOS'!$F$6:$F$200=$B39)*('1_GRUPOS'!$D$6:$D$200&lt;&gt;"")*('1_GRUPOS'!$E$6:$E$200&lt;&gt;"")*((('1_GRUPOS'!$E$6:$E$200&gt;'1_GRUPOS'!$D$6:$D$200)*3)+('1_GRUPOS'!$D$6:$D$200='1_GRUPOS'!$E$6:$E$200)))</f>
        <v>0</v>
      </c>
      <c r="E39" s="14">
        <f>SUMPRODUCT(('1_GRUPOS'!$B$6:$B$200=$A39)*('1_GRUPOS'!$C$6:$C$200=$B39)*('1_GRUPOS'!$D$6:$D$200&lt;&gt;"")*'1_GRUPOS'!$D$6:$D$200)+SUMPRODUCT(('1_GRUPOS'!$B$6:$B$200=$A39)*('1_GRUPOS'!$F$6:$F$200=$B39)*('1_GRUPOS'!$E$6:$E$200&lt;&gt;"")*'1_GRUPOS'!$E$6:$E$200)</f>
        <v>0</v>
      </c>
      <c r="F39" s="14">
        <f>SUMPRODUCT(('1_GRUPOS'!$B$6:$B$200=$A39)*('1_GRUPOS'!$C$6:$C$200=$B39)*('1_GRUPOS'!$E$6:$E$200&lt;&gt;"")*'1_GRUPOS'!$E$6:$E$200)+SUMPRODUCT(('1_GRUPOS'!$B$6:$B$200=$A39)*('1_GRUPOS'!$F$6:$F$200=$B39)*('1_GRUPOS'!$D$6:$D$200&lt;&gt;"")*'1_GRUPOS'!$D$6:$D$200)</f>
        <v>0</v>
      </c>
      <c r="G39" s="14">
        <f t="shared" si="0"/>
        <v>0</v>
      </c>
      <c r="H39" s="14">
        <f t="shared" si="1"/>
        <v>3</v>
      </c>
      <c r="K39" s="17"/>
      <c r="L39" s="18"/>
      <c r="M39" s="18"/>
    </row>
    <row r="40" spans="1:13" ht="15" customHeight="1" x14ac:dyDescent="0.2">
      <c r="A40" s="13" t="s">
        <v>178</v>
      </c>
      <c r="B40" s="13" t="s">
        <v>182</v>
      </c>
      <c r="C40" s="13">
        <v>3</v>
      </c>
      <c r="D40" s="14">
        <f>SUMPRODUCT(('1_GRUPOS'!$B$6:$B$200=$A40)*('1_GRUPOS'!$C$6:$C$200=$B40)*('1_GRUPOS'!$D$6:$D$200&lt;&gt;"")*('1_GRUPOS'!$E$6:$E$200&lt;&gt;"")*((('1_GRUPOS'!$D$6:$D$200&gt;'1_GRUPOS'!$E$6:$E$200)*3)+('1_GRUPOS'!$D$6:$D$200='1_GRUPOS'!$E$6:$E$200)))+SUMPRODUCT(('1_GRUPOS'!$B$6:$B$200=$A40)*('1_GRUPOS'!$F$6:$F$200=$B40)*('1_GRUPOS'!$D$6:$D$200&lt;&gt;"")*('1_GRUPOS'!$E$6:$E$200&lt;&gt;"")*((('1_GRUPOS'!$E$6:$E$200&gt;'1_GRUPOS'!$D$6:$D$200)*3)+('1_GRUPOS'!$D$6:$D$200='1_GRUPOS'!$E$6:$E$200)))</f>
        <v>0</v>
      </c>
      <c r="E40" s="14">
        <f>SUMPRODUCT(('1_GRUPOS'!$B$6:$B$200=$A40)*('1_GRUPOS'!$C$6:$C$200=$B40)*('1_GRUPOS'!$D$6:$D$200&lt;&gt;"")*'1_GRUPOS'!$D$6:$D$200)+SUMPRODUCT(('1_GRUPOS'!$B$6:$B$200=$A40)*('1_GRUPOS'!$F$6:$F$200=$B40)*('1_GRUPOS'!$E$6:$E$200&lt;&gt;"")*'1_GRUPOS'!$E$6:$E$200)</f>
        <v>0</v>
      </c>
      <c r="F40" s="14">
        <f>SUMPRODUCT(('1_GRUPOS'!$B$6:$B$200=$A40)*('1_GRUPOS'!$C$6:$C$200=$B40)*('1_GRUPOS'!$E$6:$E$200&lt;&gt;"")*'1_GRUPOS'!$E$6:$E$200)+SUMPRODUCT(('1_GRUPOS'!$B$6:$B$200=$A40)*('1_GRUPOS'!$F$6:$F$200=$B40)*('1_GRUPOS'!$D$6:$D$200&lt;&gt;"")*'1_GRUPOS'!$D$6:$D$200)</f>
        <v>0</v>
      </c>
      <c r="G40" s="14">
        <f t="shared" si="0"/>
        <v>0</v>
      </c>
      <c r="H40" s="14">
        <f t="shared" si="1"/>
        <v>2</v>
      </c>
      <c r="K40" s="17"/>
      <c r="L40" s="18"/>
      <c r="M40" s="18"/>
    </row>
    <row r="41" spans="1:13" ht="15" customHeight="1" x14ac:dyDescent="0.2">
      <c r="A41" s="13" t="s">
        <v>178</v>
      </c>
      <c r="B41" s="13" t="s">
        <v>184</v>
      </c>
      <c r="C41" s="13">
        <v>4</v>
      </c>
      <c r="D41" s="14">
        <f>SUMPRODUCT(('1_GRUPOS'!$B$6:$B$200=$A41)*('1_GRUPOS'!$C$6:$C$200=$B41)*('1_GRUPOS'!$D$6:$D$200&lt;&gt;"")*('1_GRUPOS'!$E$6:$E$200&lt;&gt;"")*((('1_GRUPOS'!$D$6:$D$200&gt;'1_GRUPOS'!$E$6:$E$200)*3)+('1_GRUPOS'!$D$6:$D$200='1_GRUPOS'!$E$6:$E$200)))+SUMPRODUCT(('1_GRUPOS'!$B$6:$B$200=$A41)*('1_GRUPOS'!$F$6:$F$200=$B41)*('1_GRUPOS'!$D$6:$D$200&lt;&gt;"")*('1_GRUPOS'!$E$6:$E$200&lt;&gt;"")*((('1_GRUPOS'!$E$6:$E$200&gt;'1_GRUPOS'!$D$6:$D$200)*3)+('1_GRUPOS'!$D$6:$D$200='1_GRUPOS'!$E$6:$E$200)))</f>
        <v>0</v>
      </c>
      <c r="E41" s="14">
        <f>SUMPRODUCT(('1_GRUPOS'!$B$6:$B$200=$A41)*('1_GRUPOS'!$C$6:$C$200=$B41)*('1_GRUPOS'!$D$6:$D$200&lt;&gt;"")*'1_GRUPOS'!$D$6:$D$200)+SUMPRODUCT(('1_GRUPOS'!$B$6:$B$200=$A41)*('1_GRUPOS'!$F$6:$F$200=$B41)*('1_GRUPOS'!$E$6:$E$200&lt;&gt;"")*'1_GRUPOS'!$E$6:$E$200)</f>
        <v>0</v>
      </c>
      <c r="F41" s="14">
        <f>SUMPRODUCT(('1_GRUPOS'!$B$6:$B$200=$A41)*('1_GRUPOS'!$C$6:$C$200=$B41)*('1_GRUPOS'!$E$6:$E$200&lt;&gt;"")*'1_GRUPOS'!$E$6:$E$200)+SUMPRODUCT(('1_GRUPOS'!$B$6:$B$200=$A41)*('1_GRUPOS'!$F$6:$F$200=$B41)*('1_GRUPOS'!$D$6:$D$200&lt;&gt;"")*'1_GRUPOS'!$D$6:$D$200)</f>
        <v>0</v>
      </c>
      <c r="G41" s="14">
        <f t="shared" si="0"/>
        <v>0</v>
      </c>
      <c r="H41" s="14">
        <f t="shared" si="1"/>
        <v>4</v>
      </c>
      <c r="K41" s="17"/>
      <c r="L41" s="18"/>
      <c r="M41" s="18"/>
    </row>
    <row r="42" spans="1:13" ht="15" customHeight="1" x14ac:dyDescent="0.2">
      <c r="A42" s="13" t="s">
        <v>189</v>
      </c>
      <c r="B42" s="13" t="s">
        <v>190</v>
      </c>
      <c r="C42" s="13">
        <v>1</v>
      </c>
      <c r="D42" s="14">
        <f>SUMPRODUCT(('1_GRUPOS'!$B$6:$B$200=$A42)*('1_GRUPOS'!$C$6:$C$200=$B42)*('1_GRUPOS'!$D$6:$D$200&lt;&gt;"")*('1_GRUPOS'!$E$6:$E$200&lt;&gt;"")*((('1_GRUPOS'!$D$6:$D$200&gt;'1_GRUPOS'!$E$6:$E$200)*3)+('1_GRUPOS'!$D$6:$D$200='1_GRUPOS'!$E$6:$E$200)))+SUMPRODUCT(('1_GRUPOS'!$B$6:$B$200=$A42)*('1_GRUPOS'!$F$6:$F$200=$B42)*('1_GRUPOS'!$D$6:$D$200&lt;&gt;"")*('1_GRUPOS'!$E$6:$E$200&lt;&gt;"")*((('1_GRUPOS'!$E$6:$E$200&gt;'1_GRUPOS'!$D$6:$D$200)*3)+('1_GRUPOS'!$D$6:$D$200='1_GRUPOS'!$E$6:$E$200)))</f>
        <v>0</v>
      </c>
      <c r="E42" s="14">
        <f>SUMPRODUCT(('1_GRUPOS'!$B$6:$B$200=$A42)*('1_GRUPOS'!$C$6:$C$200=$B42)*('1_GRUPOS'!$D$6:$D$200&lt;&gt;"")*'1_GRUPOS'!$D$6:$D$200)+SUMPRODUCT(('1_GRUPOS'!$B$6:$B$200=$A42)*('1_GRUPOS'!$F$6:$F$200=$B42)*('1_GRUPOS'!$E$6:$E$200&lt;&gt;"")*'1_GRUPOS'!$E$6:$E$200)</f>
        <v>0</v>
      </c>
      <c r="F42" s="14">
        <f>SUMPRODUCT(('1_GRUPOS'!$B$6:$B$200=$A42)*('1_GRUPOS'!$C$6:$C$200=$B42)*('1_GRUPOS'!$E$6:$E$200&lt;&gt;"")*'1_GRUPOS'!$E$6:$E$200)+SUMPRODUCT(('1_GRUPOS'!$B$6:$B$200=$A42)*('1_GRUPOS'!$F$6:$F$200=$B42)*('1_GRUPOS'!$D$6:$D$200&lt;&gt;"")*'1_GRUPOS'!$D$6:$D$200)</f>
        <v>0</v>
      </c>
      <c r="G42" s="14">
        <f t="shared" si="0"/>
        <v>0</v>
      </c>
      <c r="H42" s="14">
        <f t="shared" si="1"/>
        <v>2</v>
      </c>
      <c r="K42" s="17"/>
      <c r="L42" s="18"/>
      <c r="M42" s="18"/>
    </row>
    <row r="43" spans="1:13" ht="15" customHeight="1" x14ac:dyDescent="0.2">
      <c r="A43" s="13" t="s">
        <v>189</v>
      </c>
      <c r="B43" s="13" t="s">
        <v>191</v>
      </c>
      <c r="C43" s="13">
        <v>2</v>
      </c>
      <c r="D43" s="14">
        <f>SUMPRODUCT(('1_GRUPOS'!$B$6:$B$200=$A43)*('1_GRUPOS'!$C$6:$C$200=$B43)*('1_GRUPOS'!$D$6:$D$200&lt;&gt;"")*('1_GRUPOS'!$E$6:$E$200&lt;&gt;"")*((('1_GRUPOS'!$D$6:$D$200&gt;'1_GRUPOS'!$E$6:$E$200)*3)+('1_GRUPOS'!$D$6:$D$200='1_GRUPOS'!$E$6:$E$200)))+SUMPRODUCT(('1_GRUPOS'!$B$6:$B$200=$A43)*('1_GRUPOS'!$F$6:$F$200=$B43)*('1_GRUPOS'!$D$6:$D$200&lt;&gt;"")*('1_GRUPOS'!$E$6:$E$200&lt;&gt;"")*((('1_GRUPOS'!$E$6:$E$200&gt;'1_GRUPOS'!$D$6:$D$200)*3)+('1_GRUPOS'!$D$6:$D$200='1_GRUPOS'!$E$6:$E$200)))</f>
        <v>0</v>
      </c>
      <c r="E43" s="14">
        <f>SUMPRODUCT(('1_GRUPOS'!$B$6:$B$200=$A43)*('1_GRUPOS'!$C$6:$C$200=$B43)*('1_GRUPOS'!$D$6:$D$200&lt;&gt;"")*'1_GRUPOS'!$D$6:$D$200)+SUMPRODUCT(('1_GRUPOS'!$B$6:$B$200=$A43)*('1_GRUPOS'!$F$6:$F$200=$B43)*('1_GRUPOS'!$E$6:$E$200&lt;&gt;"")*'1_GRUPOS'!$E$6:$E$200)</f>
        <v>0</v>
      </c>
      <c r="F43" s="14">
        <f>SUMPRODUCT(('1_GRUPOS'!$B$6:$B$200=$A43)*('1_GRUPOS'!$C$6:$C$200=$B43)*('1_GRUPOS'!$E$6:$E$200&lt;&gt;"")*'1_GRUPOS'!$E$6:$E$200)+SUMPRODUCT(('1_GRUPOS'!$B$6:$B$200=$A43)*('1_GRUPOS'!$F$6:$F$200=$B43)*('1_GRUPOS'!$D$6:$D$200&lt;&gt;"")*'1_GRUPOS'!$D$6:$D$200)</f>
        <v>0</v>
      </c>
      <c r="G43" s="14">
        <f t="shared" si="0"/>
        <v>0</v>
      </c>
      <c r="H43" s="14">
        <f t="shared" si="1"/>
        <v>4</v>
      </c>
      <c r="K43" s="17"/>
      <c r="L43" s="18"/>
      <c r="M43" s="18"/>
    </row>
    <row r="44" spans="1:13" ht="15" customHeight="1" x14ac:dyDescent="0.2">
      <c r="A44" s="13" t="s">
        <v>189</v>
      </c>
      <c r="B44" s="13" t="s">
        <v>193</v>
      </c>
      <c r="C44" s="13">
        <v>3</v>
      </c>
      <c r="D44" s="14">
        <f>SUMPRODUCT(('1_GRUPOS'!$B$6:$B$200=$A44)*('1_GRUPOS'!$C$6:$C$200=$B44)*('1_GRUPOS'!$D$6:$D$200&lt;&gt;"")*('1_GRUPOS'!$E$6:$E$200&lt;&gt;"")*((('1_GRUPOS'!$D$6:$D$200&gt;'1_GRUPOS'!$E$6:$E$200)*3)+('1_GRUPOS'!$D$6:$D$200='1_GRUPOS'!$E$6:$E$200)))+SUMPRODUCT(('1_GRUPOS'!$B$6:$B$200=$A44)*('1_GRUPOS'!$F$6:$F$200=$B44)*('1_GRUPOS'!$D$6:$D$200&lt;&gt;"")*('1_GRUPOS'!$E$6:$E$200&lt;&gt;"")*((('1_GRUPOS'!$E$6:$E$200&gt;'1_GRUPOS'!$D$6:$D$200)*3)+('1_GRUPOS'!$D$6:$D$200='1_GRUPOS'!$E$6:$E$200)))</f>
        <v>0</v>
      </c>
      <c r="E44" s="14">
        <f>SUMPRODUCT(('1_GRUPOS'!$B$6:$B$200=$A44)*('1_GRUPOS'!$C$6:$C$200=$B44)*('1_GRUPOS'!$D$6:$D$200&lt;&gt;"")*'1_GRUPOS'!$D$6:$D$200)+SUMPRODUCT(('1_GRUPOS'!$B$6:$B$200=$A44)*('1_GRUPOS'!$F$6:$F$200=$B44)*('1_GRUPOS'!$E$6:$E$200&lt;&gt;"")*'1_GRUPOS'!$E$6:$E$200)</f>
        <v>0</v>
      </c>
      <c r="F44" s="14">
        <f>SUMPRODUCT(('1_GRUPOS'!$B$6:$B$200=$A44)*('1_GRUPOS'!$C$6:$C$200=$B44)*('1_GRUPOS'!$E$6:$E$200&lt;&gt;"")*'1_GRUPOS'!$E$6:$E$200)+SUMPRODUCT(('1_GRUPOS'!$B$6:$B$200=$A44)*('1_GRUPOS'!$F$6:$F$200=$B44)*('1_GRUPOS'!$D$6:$D$200&lt;&gt;"")*'1_GRUPOS'!$D$6:$D$200)</f>
        <v>0</v>
      </c>
      <c r="G44" s="14">
        <f t="shared" si="0"/>
        <v>0</v>
      </c>
      <c r="H44" s="14">
        <f t="shared" si="1"/>
        <v>3</v>
      </c>
      <c r="K44" s="17"/>
      <c r="L44" s="18"/>
      <c r="M44" s="18"/>
    </row>
    <row r="45" spans="1:13" ht="15" customHeight="1" x14ac:dyDescent="0.2">
      <c r="A45" s="13" t="s">
        <v>189</v>
      </c>
      <c r="B45" s="13" t="s">
        <v>195</v>
      </c>
      <c r="C45" s="13">
        <v>4</v>
      </c>
      <c r="D45" s="14">
        <f>SUMPRODUCT(('1_GRUPOS'!$B$6:$B$200=$A45)*('1_GRUPOS'!$C$6:$C$200=$B45)*('1_GRUPOS'!$D$6:$D$200&lt;&gt;"")*('1_GRUPOS'!$E$6:$E$200&lt;&gt;"")*((('1_GRUPOS'!$D$6:$D$200&gt;'1_GRUPOS'!$E$6:$E$200)*3)+('1_GRUPOS'!$D$6:$D$200='1_GRUPOS'!$E$6:$E$200)))+SUMPRODUCT(('1_GRUPOS'!$B$6:$B$200=$A45)*('1_GRUPOS'!$F$6:$F$200=$B45)*('1_GRUPOS'!$D$6:$D$200&lt;&gt;"")*('1_GRUPOS'!$E$6:$E$200&lt;&gt;"")*((('1_GRUPOS'!$E$6:$E$200&gt;'1_GRUPOS'!$D$6:$D$200)*3)+('1_GRUPOS'!$D$6:$D$200='1_GRUPOS'!$E$6:$E$200)))</f>
        <v>0</v>
      </c>
      <c r="E45" s="14">
        <f>SUMPRODUCT(('1_GRUPOS'!$B$6:$B$200=$A45)*('1_GRUPOS'!$C$6:$C$200=$B45)*('1_GRUPOS'!$D$6:$D$200&lt;&gt;"")*'1_GRUPOS'!$D$6:$D$200)+SUMPRODUCT(('1_GRUPOS'!$B$6:$B$200=$A45)*('1_GRUPOS'!$F$6:$F$200=$B45)*('1_GRUPOS'!$E$6:$E$200&lt;&gt;"")*'1_GRUPOS'!$E$6:$E$200)</f>
        <v>0</v>
      </c>
      <c r="F45" s="14">
        <f>SUMPRODUCT(('1_GRUPOS'!$B$6:$B$200=$A45)*('1_GRUPOS'!$C$6:$C$200=$B45)*('1_GRUPOS'!$E$6:$E$200&lt;&gt;"")*'1_GRUPOS'!$E$6:$E$200)+SUMPRODUCT(('1_GRUPOS'!$B$6:$B$200=$A45)*('1_GRUPOS'!$F$6:$F$200=$B45)*('1_GRUPOS'!$D$6:$D$200&lt;&gt;"")*'1_GRUPOS'!$D$6:$D$200)</f>
        <v>0</v>
      </c>
      <c r="G45" s="14">
        <f t="shared" si="0"/>
        <v>0</v>
      </c>
      <c r="H45" s="14">
        <f t="shared" si="1"/>
        <v>1</v>
      </c>
      <c r="K45" s="17"/>
      <c r="L45" s="18"/>
      <c r="M45" s="18"/>
    </row>
    <row r="46" spans="1:13" ht="15" customHeight="1" x14ac:dyDescent="0.2">
      <c r="A46" s="13" t="s">
        <v>200</v>
      </c>
      <c r="B46" s="13" t="s">
        <v>201</v>
      </c>
      <c r="C46" s="13">
        <v>1</v>
      </c>
      <c r="D46" s="14">
        <f>SUMPRODUCT(('1_GRUPOS'!$B$6:$B$200=$A46)*('1_GRUPOS'!$C$6:$C$200=$B46)*('1_GRUPOS'!$D$6:$D$200&lt;&gt;"")*('1_GRUPOS'!$E$6:$E$200&lt;&gt;"")*((('1_GRUPOS'!$D$6:$D$200&gt;'1_GRUPOS'!$E$6:$E$200)*3)+('1_GRUPOS'!$D$6:$D$200='1_GRUPOS'!$E$6:$E$200)))+SUMPRODUCT(('1_GRUPOS'!$B$6:$B$200=$A46)*('1_GRUPOS'!$F$6:$F$200=$B46)*('1_GRUPOS'!$D$6:$D$200&lt;&gt;"")*('1_GRUPOS'!$E$6:$E$200&lt;&gt;"")*((('1_GRUPOS'!$E$6:$E$200&gt;'1_GRUPOS'!$D$6:$D$200)*3)+('1_GRUPOS'!$D$6:$D$200='1_GRUPOS'!$E$6:$E$200)))</f>
        <v>0</v>
      </c>
      <c r="E46" s="14">
        <f>SUMPRODUCT(('1_GRUPOS'!$B$6:$B$200=$A46)*('1_GRUPOS'!$C$6:$C$200=$B46)*('1_GRUPOS'!$D$6:$D$200&lt;&gt;"")*'1_GRUPOS'!$D$6:$D$200)+SUMPRODUCT(('1_GRUPOS'!$B$6:$B$200=$A46)*('1_GRUPOS'!$F$6:$F$200=$B46)*('1_GRUPOS'!$E$6:$E$200&lt;&gt;"")*'1_GRUPOS'!$E$6:$E$200)</f>
        <v>0</v>
      </c>
      <c r="F46" s="14">
        <f>SUMPRODUCT(('1_GRUPOS'!$B$6:$B$200=$A46)*('1_GRUPOS'!$C$6:$C$200=$B46)*('1_GRUPOS'!$E$6:$E$200&lt;&gt;"")*'1_GRUPOS'!$E$6:$E$200)+SUMPRODUCT(('1_GRUPOS'!$B$6:$B$200=$A46)*('1_GRUPOS'!$F$6:$F$200=$B46)*('1_GRUPOS'!$D$6:$D$200&lt;&gt;"")*'1_GRUPOS'!$D$6:$D$200)</f>
        <v>0</v>
      </c>
      <c r="G46" s="14">
        <f t="shared" si="0"/>
        <v>0</v>
      </c>
      <c r="H46" s="14">
        <f t="shared" si="1"/>
        <v>4</v>
      </c>
      <c r="K46" s="17"/>
      <c r="L46" s="18"/>
      <c r="M46" s="18"/>
    </row>
    <row r="47" spans="1:13" ht="15" customHeight="1" x14ac:dyDescent="0.2">
      <c r="A47" s="13" t="s">
        <v>200</v>
      </c>
      <c r="B47" s="13" t="s">
        <v>202</v>
      </c>
      <c r="C47" s="13">
        <v>2</v>
      </c>
      <c r="D47" s="14">
        <f>SUMPRODUCT(('1_GRUPOS'!$B$6:$B$200=$A47)*('1_GRUPOS'!$C$6:$C$200=$B47)*('1_GRUPOS'!$D$6:$D$200&lt;&gt;"")*('1_GRUPOS'!$E$6:$E$200&lt;&gt;"")*((('1_GRUPOS'!$D$6:$D$200&gt;'1_GRUPOS'!$E$6:$E$200)*3)+('1_GRUPOS'!$D$6:$D$200='1_GRUPOS'!$E$6:$E$200)))+SUMPRODUCT(('1_GRUPOS'!$B$6:$B$200=$A47)*('1_GRUPOS'!$F$6:$F$200=$B47)*('1_GRUPOS'!$D$6:$D$200&lt;&gt;"")*('1_GRUPOS'!$E$6:$E$200&lt;&gt;"")*((('1_GRUPOS'!$E$6:$E$200&gt;'1_GRUPOS'!$D$6:$D$200)*3)+('1_GRUPOS'!$D$6:$D$200='1_GRUPOS'!$E$6:$E$200)))</f>
        <v>0</v>
      </c>
      <c r="E47" s="14">
        <f>SUMPRODUCT(('1_GRUPOS'!$B$6:$B$200=$A47)*('1_GRUPOS'!$C$6:$C$200=$B47)*('1_GRUPOS'!$D$6:$D$200&lt;&gt;"")*'1_GRUPOS'!$D$6:$D$200)+SUMPRODUCT(('1_GRUPOS'!$B$6:$B$200=$A47)*('1_GRUPOS'!$F$6:$F$200=$B47)*('1_GRUPOS'!$E$6:$E$200&lt;&gt;"")*'1_GRUPOS'!$E$6:$E$200)</f>
        <v>0</v>
      </c>
      <c r="F47" s="14">
        <f>SUMPRODUCT(('1_GRUPOS'!$B$6:$B$200=$A47)*('1_GRUPOS'!$C$6:$C$200=$B47)*('1_GRUPOS'!$E$6:$E$200&lt;&gt;"")*'1_GRUPOS'!$E$6:$E$200)+SUMPRODUCT(('1_GRUPOS'!$B$6:$B$200=$A47)*('1_GRUPOS'!$F$6:$F$200=$B47)*('1_GRUPOS'!$D$6:$D$200&lt;&gt;"")*'1_GRUPOS'!$D$6:$D$200)</f>
        <v>0</v>
      </c>
      <c r="G47" s="14">
        <f t="shared" si="0"/>
        <v>0</v>
      </c>
      <c r="H47" s="14">
        <f t="shared" si="1"/>
        <v>2</v>
      </c>
      <c r="K47" s="17"/>
      <c r="L47" s="18"/>
      <c r="M47" s="18"/>
    </row>
    <row r="48" spans="1:13" ht="15" customHeight="1" x14ac:dyDescent="0.2">
      <c r="A48" s="13" t="s">
        <v>200</v>
      </c>
      <c r="B48" s="13" t="s">
        <v>204</v>
      </c>
      <c r="C48" s="13">
        <v>3</v>
      </c>
      <c r="D48" s="14">
        <f>SUMPRODUCT(('1_GRUPOS'!$B$6:$B$200=$A48)*('1_GRUPOS'!$C$6:$C$200=$B48)*('1_GRUPOS'!$D$6:$D$200&lt;&gt;"")*('1_GRUPOS'!$E$6:$E$200&lt;&gt;"")*((('1_GRUPOS'!$D$6:$D$200&gt;'1_GRUPOS'!$E$6:$E$200)*3)+('1_GRUPOS'!$D$6:$D$200='1_GRUPOS'!$E$6:$E$200)))+SUMPRODUCT(('1_GRUPOS'!$B$6:$B$200=$A48)*('1_GRUPOS'!$F$6:$F$200=$B48)*('1_GRUPOS'!$D$6:$D$200&lt;&gt;"")*('1_GRUPOS'!$E$6:$E$200&lt;&gt;"")*((('1_GRUPOS'!$E$6:$E$200&gt;'1_GRUPOS'!$D$6:$D$200)*3)+('1_GRUPOS'!$D$6:$D$200='1_GRUPOS'!$E$6:$E$200)))</f>
        <v>0</v>
      </c>
      <c r="E48" s="14">
        <f>SUMPRODUCT(('1_GRUPOS'!$B$6:$B$200=$A48)*('1_GRUPOS'!$C$6:$C$200=$B48)*('1_GRUPOS'!$D$6:$D$200&lt;&gt;"")*'1_GRUPOS'!$D$6:$D$200)+SUMPRODUCT(('1_GRUPOS'!$B$6:$B$200=$A48)*('1_GRUPOS'!$F$6:$F$200=$B48)*('1_GRUPOS'!$E$6:$E$200&lt;&gt;"")*'1_GRUPOS'!$E$6:$E$200)</f>
        <v>0</v>
      </c>
      <c r="F48" s="14">
        <f>SUMPRODUCT(('1_GRUPOS'!$B$6:$B$200=$A48)*('1_GRUPOS'!$C$6:$C$200=$B48)*('1_GRUPOS'!$E$6:$E$200&lt;&gt;"")*'1_GRUPOS'!$E$6:$E$200)+SUMPRODUCT(('1_GRUPOS'!$B$6:$B$200=$A48)*('1_GRUPOS'!$F$6:$F$200=$B48)*('1_GRUPOS'!$D$6:$D$200&lt;&gt;"")*'1_GRUPOS'!$D$6:$D$200)</f>
        <v>0</v>
      </c>
      <c r="G48" s="14">
        <f t="shared" si="0"/>
        <v>0</v>
      </c>
      <c r="H48" s="14">
        <f t="shared" si="1"/>
        <v>1</v>
      </c>
      <c r="K48" s="17"/>
      <c r="L48" s="18"/>
      <c r="M48" s="18"/>
    </row>
    <row r="49" spans="1:13" ht="15" customHeight="1" x14ac:dyDescent="0.2">
      <c r="A49" s="13" t="s">
        <v>200</v>
      </c>
      <c r="B49" s="13" t="s">
        <v>206</v>
      </c>
      <c r="C49" s="13">
        <v>4</v>
      </c>
      <c r="D49" s="14">
        <f>SUMPRODUCT(('1_GRUPOS'!$B$6:$B$200=$A49)*('1_GRUPOS'!$C$6:$C$200=$B49)*('1_GRUPOS'!$D$6:$D$200&lt;&gt;"")*('1_GRUPOS'!$E$6:$E$200&lt;&gt;"")*((('1_GRUPOS'!$D$6:$D$200&gt;'1_GRUPOS'!$E$6:$E$200)*3)+('1_GRUPOS'!$D$6:$D$200='1_GRUPOS'!$E$6:$E$200)))+SUMPRODUCT(('1_GRUPOS'!$B$6:$B$200=$A49)*('1_GRUPOS'!$F$6:$F$200=$B49)*('1_GRUPOS'!$D$6:$D$200&lt;&gt;"")*('1_GRUPOS'!$E$6:$E$200&lt;&gt;"")*((('1_GRUPOS'!$E$6:$E$200&gt;'1_GRUPOS'!$D$6:$D$200)*3)+('1_GRUPOS'!$D$6:$D$200='1_GRUPOS'!$E$6:$E$200)))</f>
        <v>0</v>
      </c>
      <c r="E49" s="14">
        <f>SUMPRODUCT(('1_GRUPOS'!$B$6:$B$200=$A49)*('1_GRUPOS'!$C$6:$C$200=$B49)*('1_GRUPOS'!$D$6:$D$200&lt;&gt;"")*'1_GRUPOS'!$D$6:$D$200)+SUMPRODUCT(('1_GRUPOS'!$B$6:$B$200=$A49)*('1_GRUPOS'!$F$6:$F$200=$B49)*('1_GRUPOS'!$E$6:$E$200&lt;&gt;"")*'1_GRUPOS'!$E$6:$E$200)</f>
        <v>0</v>
      </c>
      <c r="F49" s="14">
        <f>SUMPRODUCT(('1_GRUPOS'!$B$6:$B$200=$A49)*('1_GRUPOS'!$C$6:$C$200=$B49)*('1_GRUPOS'!$E$6:$E$200&lt;&gt;"")*'1_GRUPOS'!$E$6:$E$200)+SUMPRODUCT(('1_GRUPOS'!$B$6:$B$200=$A49)*('1_GRUPOS'!$F$6:$F$200=$B49)*('1_GRUPOS'!$D$6:$D$200&lt;&gt;"")*'1_GRUPOS'!$D$6:$D$200)</f>
        <v>0</v>
      </c>
      <c r="G49" s="14">
        <f t="shared" si="0"/>
        <v>0</v>
      </c>
      <c r="H49" s="14">
        <f t="shared" si="1"/>
        <v>3</v>
      </c>
      <c r="K49" s="17"/>
      <c r="L49" s="18"/>
      <c r="M49" s="18"/>
    </row>
  </sheetData>
  <sheetProtection password="CE4B" sheet="1"/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2E7D32"/>
  </sheetPr>
  <dimension ref="A1:Z33"/>
  <sheetViews>
    <sheetView showGridLines="0" workbookViewId="0">
      <pane ySplit="3" topLeftCell="A4" activePane="bottomLeft" state="frozen"/>
      <selection pane="bottomLeft" sqref="A1:Z1"/>
    </sheetView>
  </sheetViews>
  <sheetFormatPr baseColWidth="10" defaultColWidth="8.83203125" defaultRowHeight="15" x14ac:dyDescent="0.2"/>
  <cols>
    <col min="1" max="1" width="5" customWidth="1"/>
    <col min="2" max="2" width="24" customWidth="1"/>
    <col min="3" max="7" width="5" customWidth="1"/>
    <col min="8" max="8" width="12" customWidth="1"/>
    <col min="9" max="9" width="3" customWidth="1"/>
    <col min="10" max="10" width="5" customWidth="1"/>
    <col min="11" max="11" width="24" customWidth="1"/>
    <col min="12" max="16" width="5" customWidth="1"/>
    <col min="17" max="17" width="12" customWidth="1"/>
    <col min="18" max="18" width="3" customWidth="1"/>
    <col min="19" max="19" width="5" customWidth="1"/>
    <col min="20" max="20" width="24" customWidth="1"/>
    <col min="21" max="25" width="5" customWidth="1"/>
    <col min="26" max="26" width="12" customWidth="1"/>
  </cols>
  <sheetData>
    <row r="1" spans="1:26" ht="24" customHeight="1" x14ac:dyDescent="0.2">
      <c r="A1" s="71" t="s">
        <v>222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</row>
    <row r="2" spans="1:26" ht="22" customHeight="1" x14ac:dyDescent="0.2">
      <c r="A2" s="75" t="s">
        <v>223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</row>
    <row r="3" spans="1:26" ht="20" customHeight="1" x14ac:dyDescent="0.2">
      <c r="X3" s="29" t="s">
        <v>224</v>
      </c>
      <c r="Y3" s="30" t="s">
        <v>225</v>
      </c>
    </row>
    <row r="4" spans="1:26" ht="20" customHeight="1" x14ac:dyDescent="0.2">
      <c r="A4" s="72" t="s">
        <v>226</v>
      </c>
      <c r="B4" s="73"/>
      <c r="C4" s="73"/>
      <c r="D4" s="73"/>
      <c r="E4" s="73"/>
      <c r="F4" s="73"/>
      <c r="G4" s="73"/>
      <c r="H4" s="74"/>
      <c r="J4" s="72" t="s">
        <v>227</v>
      </c>
      <c r="K4" s="73"/>
      <c r="L4" s="73"/>
      <c r="M4" s="73"/>
      <c r="N4" s="73"/>
      <c r="O4" s="73"/>
      <c r="P4" s="73"/>
      <c r="Q4" s="74"/>
      <c r="S4" s="72" t="s">
        <v>228</v>
      </c>
      <c r="T4" s="73"/>
      <c r="U4" s="73"/>
      <c r="V4" s="73"/>
      <c r="W4" s="73"/>
      <c r="X4" s="73"/>
      <c r="Y4" s="73"/>
      <c r="Z4" s="74"/>
    </row>
    <row r="5" spans="1:26" ht="20" customHeight="1" x14ac:dyDescent="0.2">
      <c r="A5" s="31" t="s">
        <v>229</v>
      </c>
      <c r="B5" s="32" t="s">
        <v>230</v>
      </c>
      <c r="C5" s="32" t="s">
        <v>231</v>
      </c>
      <c r="D5" s="32" t="s">
        <v>215</v>
      </c>
      <c r="E5" s="32" t="s">
        <v>232</v>
      </c>
      <c r="F5" s="32" t="s">
        <v>233</v>
      </c>
      <c r="G5" s="32" t="s">
        <v>234</v>
      </c>
      <c r="H5" s="33" t="s">
        <v>235</v>
      </c>
      <c r="J5" s="31" t="s">
        <v>229</v>
      </c>
      <c r="K5" s="32" t="s">
        <v>230</v>
      </c>
      <c r="L5" s="32" t="s">
        <v>231</v>
      </c>
      <c r="M5" s="32" t="s">
        <v>215</v>
      </c>
      <c r="N5" s="32" t="s">
        <v>232</v>
      </c>
      <c r="O5" s="32" t="s">
        <v>233</v>
      </c>
      <c r="P5" s="32" t="s">
        <v>234</v>
      </c>
      <c r="Q5" s="33" t="s">
        <v>235</v>
      </c>
      <c r="S5" s="31" t="s">
        <v>229</v>
      </c>
      <c r="T5" s="32" t="s">
        <v>230</v>
      </c>
      <c r="U5" s="32" t="s">
        <v>231</v>
      </c>
      <c r="V5" s="32" t="s">
        <v>215</v>
      </c>
      <c r="W5" s="32" t="s">
        <v>232</v>
      </c>
      <c r="X5" s="32" t="s">
        <v>233</v>
      </c>
      <c r="Y5" s="32" t="s">
        <v>234</v>
      </c>
      <c r="Z5" s="33" t="s">
        <v>235</v>
      </c>
    </row>
    <row r="6" spans="1:26" ht="20" customHeight="1" x14ac:dyDescent="0.2">
      <c r="A6" s="34">
        <v>1</v>
      </c>
      <c r="B6" s="35" t="str">
        <f>IFERROR(INDEX(_CALC!$B$2:$B$49,MATCH(1,INDEX((_CALC!$A$2:$A$49="A")*(_CALC!$H$2:$H$49=1),0),0)),"")</f>
        <v>🇰🇷 Corea del Sur</v>
      </c>
      <c r="C6" s="36">
        <f>IF($B6="","",SUMPRODUCT(('1_GRUPOS'!$B$6:$B$200="A")*('1_GRUPOS'!$D$6:$D$200&lt;&gt;"")*('1_GRUPOS'!$E$6:$E$200&lt;&gt;"")*(('1_GRUPOS'!$C$6:$C$200=$B6)+('1_GRUPOS'!$F$6:$F$200=$B6))))</f>
        <v>0</v>
      </c>
      <c r="D6" s="36">
        <f>IF($B6="","",INDEX(_CALC!$E$2:$E$49,MATCH(1,INDEX((_CALC!$A$2:$A$49="A")*(_CALC!$H$2:$H$49=1),0),0)))</f>
        <v>0</v>
      </c>
      <c r="E6" s="36">
        <f>IF($B6="","",INDEX(_CALC!$F$2:$F$49,MATCH(1,INDEX((_CALC!$A$2:$A$49="A")*(_CALC!$H$2:$H$49=1),0),0)))</f>
        <v>0</v>
      </c>
      <c r="F6" s="36">
        <f>IF($B6="","",INDEX(_CALC!$G$2:$G$49,MATCH(1,INDEX((_CALC!$A$2:$A$49="A")*(_CALC!$H$2:$H$49=1),0),0)))</f>
        <v>0</v>
      </c>
      <c r="G6" s="36">
        <f>IF($B6="","",INDEX(_CALC!$D$2:$D$49,MATCH(1,INDEX((_CALC!$A$2:$A$49="A")*(_CALC!$H$2:$H$49=1),0),0)))</f>
        <v>0</v>
      </c>
      <c r="H6" s="37" t="str">
        <f>IF(A6&lt;=2,"CLASIFICA","FUERA")</f>
        <v>CLASIFICA</v>
      </c>
      <c r="J6" s="34">
        <v>1</v>
      </c>
      <c r="K6" s="35" t="str">
        <f>IFERROR(INDEX(_CALC!$B$2:$B$49,MATCH(1,INDEX((_CALC!$A$2:$A$49="B")*(_CALC!$H$2:$H$49=1),0),0)),"")</f>
        <v>🇨🇦 Canadá</v>
      </c>
      <c r="L6" s="36">
        <f>IF($K6="","",SUMPRODUCT(('1_GRUPOS'!$B$6:$B$200="B")*('1_GRUPOS'!$D$6:$D$200&lt;&gt;"")*('1_GRUPOS'!$E$6:$E$200&lt;&gt;"")*(('1_GRUPOS'!$C$6:$C$200=$K6)+('1_GRUPOS'!$F$6:$F$200=$K6))))</f>
        <v>0</v>
      </c>
      <c r="M6" s="36">
        <f>IF($K6="","",INDEX(_CALC!$E$2:$E$49,MATCH(1,INDEX((_CALC!$A$2:$A$49="B")*(_CALC!$H$2:$H$49=1),0),0)))</f>
        <v>0</v>
      </c>
      <c r="N6" s="36">
        <f>IF($K6="","",INDEX(_CALC!$F$2:$F$49,MATCH(1,INDEX((_CALC!$A$2:$A$49="B")*(_CALC!$H$2:$H$49=1),0),0)))</f>
        <v>0</v>
      </c>
      <c r="O6" s="36">
        <f>IF($K6="","",INDEX(_CALC!$G$2:$G$49,MATCH(1,INDEX((_CALC!$A$2:$A$49="B")*(_CALC!$H$2:$H$49=1),0),0)))</f>
        <v>0</v>
      </c>
      <c r="P6" s="36">
        <f>IF($K6="","",INDEX(_CALC!$D$2:$D$49,MATCH(1,INDEX((_CALC!$A$2:$A$49="B")*(_CALC!$H$2:$H$49=1),0),0)))</f>
        <v>0</v>
      </c>
      <c r="Q6" s="37" t="str">
        <f>IF(A6&lt;=2,"CLASIFICA","FUERA")</f>
        <v>CLASIFICA</v>
      </c>
      <c r="S6" s="34">
        <v>1</v>
      </c>
      <c r="T6" s="35" t="str">
        <f>IFERROR(INDEX(_CALC!$B$2:$B$49,MATCH(1,INDEX((_CALC!$A$2:$A$49="C")*(_CALC!$H$2:$H$49=1),0),0)),"")</f>
        <v>🇧🇷 Brasil</v>
      </c>
      <c r="U6" s="36">
        <f>IF($T6="","",SUMPRODUCT(('1_GRUPOS'!$B$6:$B$200="C")*('1_GRUPOS'!$D$6:$D$200&lt;&gt;"")*('1_GRUPOS'!$E$6:$E$200&lt;&gt;"")*(('1_GRUPOS'!$C$6:$C$200=$T6)+('1_GRUPOS'!$F$6:$F$200=$T6))))</f>
        <v>0</v>
      </c>
      <c r="V6" s="36">
        <f>IF($T6="","",INDEX(_CALC!$E$2:$E$49,MATCH(1,INDEX((_CALC!$A$2:$A$49="C")*(_CALC!$H$2:$H$49=1),0),0)))</f>
        <v>0</v>
      </c>
      <c r="W6" s="36">
        <f>IF($T6="","",INDEX(_CALC!$F$2:$F$49,MATCH(1,INDEX((_CALC!$A$2:$A$49="C")*(_CALC!$H$2:$H$49=1),0),0)))</f>
        <v>0</v>
      </c>
      <c r="X6" s="36">
        <f>IF($T6="","",INDEX(_CALC!$G$2:$G$49,MATCH(1,INDEX((_CALC!$A$2:$A$49="C")*(_CALC!$H$2:$H$49=1),0),0)))</f>
        <v>0</v>
      </c>
      <c r="Y6" s="36">
        <f>IF($T6="","",INDEX(_CALC!$D$2:$D$49,MATCH(1,INDEX((_CALC!$A$2:$A$49="C")*(_CALC!$H$2:$H$49=1),0),0)))</f>
        <v>0</v>
      </c>
      <c r="Z6" s="37" t="str">
        <f>IF(A6&lt;=2,"CLASIFICA","FUERA")</f>
        <v>CLASIFICA</v>
      </c>
    </row>
    <row r="7" spans="1:26" ht="20" customHeight="1" x14ac:dyDescent="0.2">
      <c r="A7" s="34">
        <v>2</v>
      </c>
      <c r="B7" s="35" t="str">
        <f>IFERROR(INDEX(_CALC!$B$2:$B$49,MATCH(1,INDEX((_CALC!$A$2:$A$49="A")*(_CALC!$H$2:$H$49=2),0),0)),"")</f>
        <v>🇲🇽 México</v>
      </c>
      <c r="C7" s="36">
        <f>IF($B7="","",SUMPRODUCT(('1_GRUPOS'!$B$6:$B$200="A")*('1_GRUPOS'!$D$6:$D$200&lt;&gt;"")*('1_GRUPOS'!$E$6:$E$200&lt;&gt;"")*(('1_GRUPOS'!$C$6:$C$200=$B7)+('1_GRUPOS'!$F$6:$F$200=$B7))))</f>
        <v>0</v>
      </c>
      <c r="D7" s="36">
        <f>IF($B7="","",INDEX(_CALC!$E$2:$E$49,MATCH(1,INDEX((_CALC!$A$2:$A$49="A")*(_CALC!$H$2:$H$49=2),0),0)))</f>
        <v>0</v>
      </c>
      <c r="E7" s="36">
        <f>IF($B7="","",INDEX(_CALC!$F$2:$F$49,MATCH(1,INDEX((_CALC!$A$2:$A$49="A")*(_CALC!$H$2:$H$49=2),0),0)))</f>
        <v>0</v>
      </c>
      <c r="F7" s="36">
        <f>IF($B7="","",INDEX(_CALC!$G$2:$G$49,MATCH(1,INDEX((_CALC!$A$2:$A$49="A")*(_CALC!$H$2:$H$49=2),0),0)))</f>
        <v>0</v>
      </c>
      <c r="G7" s="36">
        <f>IF($B7="","",INDEX(_CALC!$D$2:$D$49,MATCH(1,INDEX((_CALC!$A$2:$A$49="A")*(_CALC!$H$2:$H$49=2),0),0)))</f>
        <v>0</v>
      </c>
      <c r="H7" s="37" t="str">
        <f>IF(A7&lt;=2,"CLASIFICA","FUERA")</f>
        <v>CLASIFICA</v>
      </c>
      <c r="J7" s="34">
        <v>2</v>
      </c>
      <c r="K7" s="35" t="str">
        <f>IFERROR(INDEX(_CALC!$B$2:$B$49,MATCH(1,INDEX((_CALC!$A$2:$A$49="B")*(_CALC!$H$2:$H$49=2),0),0)),"")</f>
        <v>🇨🇭 Suiza</v>
      </c>
      <c r="L7" s="36">
        <f>IF($K7="","",SUMPRODUCT(('1_GRUPOS'!$B$6:$B$200="B")*('1_GRUPOS'!$D$6:$D$200&lt;&gt;"")*('1_GRUPOS'!$E$6:$E$200&lt;&gt;"")*(('1_GRUPOS'!$C$6:$C$200=$K7)+('1_GRUPOS'!$F$6:$F$200=$K7))))</f>
        <v>0</v>
      </c>
      <c r="M7" s="36">
        <f>IF($K7="","",INDEX(_CALC!$E$2:$E$49,MATCH(1,INDEX((_CALC!$A$2:$A$49="B")*(_CALC!$H$2:$H$49=2),0),0)))</f>
        <v>0</v>
      </c>
      <c r="N7" s="36">
        <f>IF($K7="","",INDEX(_CALC!$F$2:$F$49,MATCH(1,INDEX((_CALC!$A$2:$A$49="B")*(_CALC!$H$2:$H$49=2),0),0)))</f>
        <v>0</v>
      </c>
      <c r="O7" s="36">
        <f>IF($K7="","",INDEX(_CALC!$G$2:$G$49,MATCH(1,INDEX((_CALC!$A$2:$A$49="B")*(_CALC!$H$2:$H$49=2),0),0)))</f>
        <v>0</v>
      </c>
      <c r="P7" s="36">
        <f>IF($K7="","",INDEX(_CALC!$D$2:$D$49,MATCH(1,INDEX((_CALC!$A$2:$A$49="B")*(_CALC!$H$2:$H$49=2),0),0)))</f>
        <v>0</v>
      </c>
      <c r="Q7" s="37" t="str">
        <f>IF(A7&lt;=2,"CLASIFICA","FUERA")</f>
        <v>CLASIFICA</v>
      </c>
      <c r="S7" s="34">
        <v>2</v>
      </c>
      <c r="T7" s="35" t="str">
        <f>IFERROR(INDEX(_CALC!$B$2:$B$49,MATCH(1,INDEX((_CALC!$A$2:$A$49="C")*(_CALC!$H$2:$H$49=2),0),0)),"")</f>
        <v>🇭🇹 Haití</v>
      </c>
      <c r="U7" s="36">
        <f>IF($T7="","",SUMPRODUCT(('1_GRUPOS'!$B$6:$B$200="C")*('1_GRUPOS'!$D$6:$D$200&lt;&gt;"")*('1_GRUPOS'!$E$6:$E$200&lt;&gt;"")*(('1_GRUPOS'!$C$6:$C$200=$T7)+('1_GRUPOS'!$F$6:$F$200=$T7))))</f>
        <v>0</v>
      </c>
      <c r="V7" s="36">
        <f>IF($T7="","",INDEX(_CALC!$E$2:$E$49,MATCH(1,INDEX((_CALC!$A$2:$A$49="C")*(_CALC!$H$2:$H$49=2),0),0)))</f>
        <v>0</v>
      </c>
      <c r="W7" s="36">
        <f>IF($T7="","",INDEX(_CALC!$F$2:$F$49,MATCH(1,INDEX((_CALC!$A$2:$A$49="C")*(_CALC!$H$2:$H$49=2),0),0)))</f>
        <v>0</v>
      </c>
      <c r="X7" s="36">
        <f>IF($T7="","",INDEX(_CALC!$G$2:$G$49,MATCH(1,INDEX((_CALC!$A$2:$A$49="C")*(_CALC!$H$2:$H$49=2),0),0)))</f>
        <v>0</v>
      </c>
      <c r="Y7" s="36">
        <f>IF($T7="","",INDEX(_CALC!$D$2:$D$49,MATCH(1,INDEX((_CALC!$A$2:$A$49="C")*(_CALC!$H$2:$H$49=2),0),0)))</f>
        <v>0</v>
      </c>
      <c r="Z7" s="37" t="str">
        <f>IF(A7&lt;=2,"CLASIFICA","FUERA")</f>
        <v>CLASIFICA</v>
      </c>
    </row>
    <row r="8" spans="1:26" ht="20" customHeight="1" x14ac:dyDescent="0.2">
      <c r="A8" s="38">
        <v>3</v>
      </c>
      <c r="B8" s="39" t="str">
        <f>IFERROR(INDEX(_CALC!$B$2:$B$49,MATCH(1,INDEX((_CALC!$A$2:$A$49="A")*(_CALC!$H$2:$H$49=3),0),0)),"")</f>
        <v>🇿🇦 Sudáfrica</v>
      </c>
      <c r="C8" s="40">
        <f>IF($B8="","",SUMPRODUCT(('1_GRUPOS'!$B$6:$B$200="A")*('1_GRUPOS'!$D$6:$D$200&lt;&gt;"")*('1_GRUPOS'!$E$6:$E$200&lt;&gt;"")*(('1_GRUPOS'!$C$6:$C$200=$B8)+('1_GRUPOS'!$F$6:$F$200=$B8))))</f>
        <v>0</v>
      </c>
      <c r="D8" s="40">
        <f>IF($B8="","",INDEX(_CALC!$E$2:$E$49,MATCH(1,INDEX((_CALC!$A$2:$A$49="A")*(_CALC!$H$2:$H$49=3),0),0)))</f>
        <v>0</v>
      </c>
      <c r="E8" s="40">
        <f>IF($B8="","",INDEX(_CALC!$F$2:$F$49,MATCH(1,INDEX((_CALC!$A$2:$A$49="A")*(_CALC!$H$2:$H$49=3),0),0)))</f>
        <v>0</v>
      </c>
      <c r="F8" s="40">
        <f>IF($B8="","",INDEX(_CALC!$G$2:$G$49,MATCH(1,INDEX((_CALC!$A$2:$A$49="A")*(_CALC!$H$2:$H$49=3),0),0)))</f>
        <v>0</v>
      </c>
      <c r="G8" s="40">
        <f>IF($B8="","",INDEX(_CALC!$D$2:$D$49,MATCH(1,INDEX((_CALC!$A$2:$A$49="A")*(_CALC!$H$2:$H$49=3),0),0)))</f>
        <v>0</v>
      </c>
      <c r="H8" s="41" t="str">
        <f>IF(A8&lt;=2,"CLASIFICA","FUERA")</f>
        <v>FUERA</v>
      </c>
      <c r="J8" s="38">
        <v>3</v>
      </c>
      <c r="K8" s="39" t="str">
        <f>IFERROR(INDEX(_CALC!$B$2:$B$49,MATCH(1,INDEX((_CALC!$A$2:$A$49="B")*(_CALC!$H$2:$H$49=3),0),0)),"")</f>
        <v>🇶🇦 Qatar</v>
      </c>
      <c r="L8" s="40">
        <f>IF($K8="","",SUMPRODUCT(('1_GRUPOS'!$B$6:$B$200="B")*('1_GRUPOS'!$D$6:$D$200&lt;&gt;"")*('1_GRUPOS'!$E$6:$E$200&lt;&gt;"")*(('1_GRUPOS'!$C$6:$C$200=$K8)+('1_GRUPOS'!$F$6:$F$200=$K8))))</f>
        <v>0</v>
      </c>
      <c r="M8" s="40">
        <f>IF($K8="","",INDEX(_CALC!$E$2:$E$49,MATCH(1,INDEX((_CALC!$A$2:$A$49="B")*(_CALC!$H$2:$H$49=3),0),0)))</f>
        <v>0</v>
      </c>
      <c r="N8" s="40">
        <f>IF($K8="","",INDEX(_CALC!$F$2:$F$49,MATCH(1,INDEX((_CALC!$A$2:$A$49="B")*(_CALC!$H$2:$H$49=3),0),0)))</f>
        <v>0</v>
      </c>
      <c r="O8" s="40">
        <f>IF($K8="","",INDEX(_CALC!$G$2:$G$49,MATCH(1,INDEX((_CALC!$A$2:$A$49="B")*(_CALC!$H$2:$H$49=3),0),0)))</f>
        <v>0</v>
      </c>
      <c r="P8" s="40">
        <f>IF($K8="","",INDEX(_CALC!$D$2:$D$49,MATCH(1,INDEX((_CALC!$A$2:$A$49="B")*(_CALC!$H$2:$H$49=3),0),0)))</f>
        <v>0</v>
      </c>
      <c r="Q8" s="41" t="str">
        <f>IF(A8&lt;=2,"CLASIFICA","FUERA")</f>
        <v>FUERA</v>
      </c>
      <c r="S8" s="38">
        <v>3</v>
      </c>
      <c r="T8" s="39" t="str">
        <f>IFERROR(INDEX(_CALC!$B$2:$B$49,MATCH(1,INDEX((_CALC!$A$2:$A$49="C")*(_CALC!$H$2:$H$49=3),0),0)),"")</f>
        <v>🇲🇦 Marruecos</v>
      </c>
      <c r="U8" s="40">
        <f>IF($T8="","",SUMPRODUCT(('1_GRUPOS'!$B$6:$B$200="C")*('1_GRUPOS'!$D$6:$D$200&lt;&gt;"")*('1_GRUPOS'!$E$6:$E$200&lt;&gt;"")*(('1_GRUPOS'!$C$6:$C$200=$T8)+('1_GRUPOS'!$F$6:$F$200=$T8))))</f>
        <v>0</v>
      </c>
      <c r="V8" s="40">
        <f>IF($T8="","",INDEX(_CALC!$E$2:$E$49,MATCH(1,INDEX((_CALC!$A$2:$A$49="C")*(_CALC!$H$2:$H$49=3),0),0)))</f>
        <v>0</v>
      </c>
      <c r="W8" s="40">
        <f>IF($T8="","",INDEX(_CALC!$F$2:$F$49,MATCH(1,INDEX((_CALC!$A$2:$A$49="C")*(_CALC!$H$2:$H$49=3),0),0)))</f>
        <v>0</v>
      </c>
      <c r="X8" s="40">
        <f>IF($T8="","",INDEX(_CALC!$G$2:$G$49,MATCH(1,INDEX((_CALC!$A$2:$A$49="C")*(_CALC!$H$2:$H$49=3),0),0)))</f>
        <v>0</v>
      </c>
      <c r="Y8" s="40">
        <f>IF($T8="","",INDEX(_CALC!$D$2:$D$49,MATCH(1,INDEX((_CALC!$A$2:$A$49="C")*(_CALC!$H$2:$H$49=3),0),0)))</f>
        <v>0</v>
      </c>
      <c r="Z8" s="41" t="str">
        <f>IF(A8&lt;=2,"CLASIFICA","FUERA")</f>
        <v>FUERA</v>
      </c>
    </row>
    <row r="9" spans="1:26" ht="20" customHeight="1" x14ac:dyDescent="0.2">
      <c r="A9" s="42">
        <v>4</v>
      </c>
      <c r="B9" s="43" t="str">
        <f>IFERROR(INDEX(_CALC!$B$2:$B$49,MATCH(1,INDEX((_CALC!$A$2:$A$49="A")*(_CALC!$H$2:$H$49=4),0),0)),"")</f>
        <v>🏳️ Rep. Checa/Dinamarca*</v>
      </c>
      <c r="C9" s="44">
        <f>IF($B9="","",SUMPRODUCT(('1_GRUPOS'!$B$6:$B$200="A")*('1_GRUPOS'!$D$6:$D$200&lt;&gt;"")*('1_GRUPOS'!$E$6:$E$200&lt;&gt;"")*(('1_GRUPOS'!$C$6:$C$200=$B9)+('1_GRUPOS'!$F$6:$F$200=$B9))))</f>
        <v>0</v>
      </c>
      <c r="D9" s="44">
        <f>IF($B9="","",INDEX(_CALC!$E$2:$E$49,MATCH(1,INDEX((_CALC!$A$2:$A$49="A")*(_CALC!$H$2:$H$49=4),0),0)))</f>
        <v>0</v>
      </c>
      <c r="E9" s="44">
        <f>IF($B9="","",INDEX(_CALC!$F$2:$F$49,MATCH(1,INDEX((_CALC!$A$2:$A$49="A")*(_CALC!$H$2:$H$49=4),0),0)))</f>
        <v>0</v>
      </c>
      <c r="F9" s="44">
        <f>IF($B9="","",INDEX(_CALC!$G$2:$G$49,MATCH(1,INDEX((_CALC!$A$2:$A$49="A")*(_CALC!$H$2:$H$49=4),0),0)))</f>
        <v>0</v>
      </c>
      <c r="G9" s="44">
        <f>IF($B9="","",INDEX(_CALC!$D$2:$D$49,MATCH(1,INDEX((_CALC!$A$2:$A$49="A")*(_CALC!$H$2:$H$49=4),0),0)))</f>
        <v>0</v>
      </c>
      <c r="H9" s="45" t="str">
        <f>IF(A9&lt;=2,"CLASIFICA","FUERA")</f>
        <v>FUERA</v>
      </c>
      <c r="J9" s="42">
        <v>4</v>
      </c>
      <c r="K9" s="43" t="str">
        <f>IFERROR(INDEX(_CALC!$B$2:$B$49,MATCH(1,INDEX((_CALC!$A$2:$A$49="B")*(_CALC!$H$2:$H$49=4),0),0)),"")</f>
        <v>🏳️ Bosnia/Italia*</v>
      </c>
      <c r="L9" s="44">
        <f>IF($K9="","",SUMPRODUCT(('1_GRUPOS'!$B$6:$B$200="B")*('1_GRUPOS'!$D$6:$D$200&lt;&gt;"")*('1_GRUPOS'!$E$6:$E$200&lt;&gt;"")*(('1_GRUPOS'!$C$6:$C$200=$K9)+('1_GRUPOS'!$F$6:$F$200=$K9))))</f>
        <v>0</v>
      </c>
      <c r="M9" s="44">
        <f>IF($K9="","",INDEX(_CALC!$E$2:$E$49,MATCH(1,INDEX((_CALC!$A$2:$A$49="B")*(_CALC!$H$2:$H$49=4),0),0)))</f>
        <v>0</v>
      </c>
      <c r="N9" s="44">
        <f>IF($K9="","",INDEX(_CALC!$F$2:$F$49,MATCH(1,INDEX((_CALC!$A$2:$A$49="B")*(_CALC!$H$2:$H$49=4),0),0)))</f>
        <v>0</v>
      </c>
      <c r="O9" s="44">
        <f>IF($K9="","",INDEX(_CALC!$G$2:$G$49,MATCH(1,INDEX((_CALC!$A$2:$A$49="B")*(_CALC!$H$2:$H$49=4),0),0)))</f>
        <v>0</v>
      </c>
      <c r="P9" s="44">
        <f>IF($K9="","",INDEX(_CALC!$D$2:$D$49,MATCH(1,INDEX((_CALC!$A$2:$A$49="B")*(_CALC!$H$2:$H$49=4),0),0)))</f>
        <v>0</v>
      </c>
      <c r="Q9" s="45" t="str">
        <f>IF(A9&lt;=2,"CLASIFICA","FUERA")</f>
        <v>FUERA</v>
      </c>
      <c r="S9" s="42">
        <v>4</v>
      </c>
      <c r="T9" s="43" t="str">
        <f>IFERROR(INDEX(_CALC!$B$2:$B$49,MATCH(1,INDEX((_CALC!$A$2:$A$49="C")*(_CALC!$H$2:$H$49=4),0),0)),"")</f>
        <v>🏴 Escocia</v>
      </c>
      <c r="U9" s="44">
        <f>IF($T9="","",SUMPRODUCT(('1_GRUPOS'!$B$6:$B$200="C")*('1_GRUPOS'!$D$6:$D$200&lt;&gt;"")*('1_GRUPOS'!$E$6:$E$200&lt;&gt;"")*(('1_GRUPOS'!$C$6:$C$200=$T9)+('1_GRUPOS'!$F$6:$F$200=$T9))))</f>
        <v>0</v>
      </c>
      <c r="V9" s="44">
        <f>IF($T9="","",INDEX(_CALC!$E$2:$E$49,MATCH(1,INDEX((_CALC!$A$2:$A$49="C")*(_CALC!$H$2:$H$49=4),0),0)))</f>
        <v>0</v>
      </c>
      <c r="W9" s="44">
        <f>IF($T9="","",INDEX(_CALC!$F$2:$F$49,MATCH(1,INDEX((_CALC!$A$2:$A$49="C")*(_CALC!$H$2:$H$49=4),0),0)))</f>
        <v>0</v>
      </c>
      <c r="X9" s="44">
        <f>IF($T9="","",INDEX(_CALC!$G$2:$G$49,MATCH(1,INDEX((_CALC!$A$2:$A$49="C")*(_CALC!$H$2:$H$49=4),0),0)))</f>
        <v>0</v>
      </c>
      <c r="Y9" s="44">
        <f>IF($T9="","",INDEX(_CALC!$D$2:$D$49,MATCH(1,INDEX((_CALC!$A$2:$A$49="C")*(_CALC!$H$2:$H$49=4),0),0)))</f>
        <v>0</v>
      </c>
      <c r="Z9" s="45" t="str">
        <f>IF(A9&lt;=2,"CLASIFICA","FUERA")</f>
        <v>FUERA</v>
      </c>
    </row>
    <row r="10" spans="1:26" ht="20" customHeight="1" x14ac:dyDescent="0.2"/>
    <row r="11" spans="1:26" ht="20" customHeight="1" x14ac:dyDescent="0.2"/>
    <row r="12" spans="1:26" ht="20" customHeight="1" x14ac:dyDescent="0.2">
      <c r="A12" s="72" t="s">
        <v>236</v>
      </c>
      <c r="B12" s="73"/>
      <c r="C12" s="73"/>
      <c r="D12" s="73"/>
      <c r="E12" s="73"/>
      <c r="F12" s="73"/>
      <c r="G12" s="73"/>
      <c r="H12" s="74"/>
      <c r="J12" s="72" t="s">
        <v>237</v>
      </c>
      <c r="K12" s="73"/>
      <c r="L12" s="73"/>
      <c r="M12" s="73"/>
      <c r="N12" s="73"/>
      <c r="O12" s="73"/>
      <c r="P12" s="73"/>
      <c r="Q12" s="74"/>
      <c r="S12" s="72" t="s">
        <v>238</v>
      </c>
      <c r="T12" s="73"/>
      <c r="U12" s="73"/>
      <c r="V12" s="73"/>
      <c r="W12" s="73"/>
      <c r="X12" s="73"/>
      <c r="Y12" s="73"/>
      <c r="Z12" s="74"/>
    </row>
    <row r="13" spans="1:26" ht="20" customHeight="1" x14ac:dyDescent="0.2">
      <c r="A13" s="31" t="s">
        <v>229</v>
      </c>
      <c r="B13" s="32" t="s">
        <v>230</v>
      </c>
      <c r="C13" s="32" t="s">
        <v>231</v>
      </c>
      <c r="D13" s="32" t="s">
        <v>215</v>
      </c>
      <c r="E13" s="32" t="s">
        <v>232</v>
      </c>
      <c r="F13" s="32" t="s">
        <v>233</v>
      </c>
      <c r="G13" s="32" t="s">
        <v>234</v>
      </c>
      <c r="H13" s="33" t="s">
        <v>235</v>
      </c>
      <c r="J13" s="31" t="s">
        <v>229</v>
      </c>
      <c r="K13" s="32" t="s">
        <v>230</v>
      </c>
      <c r="L13" s="32" t="s">
        <v>231</v>
      </c>
      <c r="M13" s="32" t="s">
        <v>215</v>
      </c>
      <c r="N13" s="32" t="s">
        <v>232</v>
      </c>
      <c r="O13" s="32" t="s">
        <v>233</v>
      </c>
      <c r="P13" s="32" t="s">
        <v>234</v>
      </c>
      <c r="Q13" s="33" t="s">
        <v>235</v>
      </c>
      <c r="S13" s="31" t="s">
        <v>229</v>
      </c>
      <c r="T13" s="32" t="s">
        <v>230</v>
      </c>
      <c r="U13" s="32" t="s">
        <v>231</v>
      </c>
      <c r="V13" s="32" t="s">
        <v>215</v>
      </c>
      <c r="W13" s="32" t="s">
        <v>232</v>
      </c>
      <c r="X13" s="32" t="s">
        <v>233</v>
      </c>
      <c r="Y13" s="32" t="s">
        <v>234</v>
      </c>
      <c r="Z13" s="33" t="s">
        <v>235</v>
      </c>
    </row>
    <row r="14" spans="1:26" ht="20" customHeight="1" x14ac:dyDescent="0.2">
      <c r="A14" s="34">
        <v>1</v>
      </c>
      <c r="B14" s="35" t="str">
        <f>IFERROR(INDEX(_CALC!$B$2:$B$49,MATCH(1,INDEX((_CALC!$A$2:$A$49="D")*(_CALC!$H$2:$H$49=1),0),0)),"")</f>
        <v>🇦🇺 Australia</v>
      </c>
      <c r="C14" s="36">
        <f>IF($B14="","",SUMPRODUCT(('1_GRUPOS'!$B$6:$B$200="D")*('1_GRUPOS'!$D$6:$D$200&lt;&gt;"")*('1_GRUPOS'!$E$6:$E$200&lt;&gt;"")*(('1_GRUPOS'!$C$6:$C$200=$B14)+('1_GRUPOS'!$F$6:$F$200=$B14))))</f>
        <v>0</v>
      </c>
      <c r="D14" s="36">
        <f>IF($B14="","",INDEX(_CALC!$E$2:$E$49,MATCH(1,INDEX((_CALC!$A$2:$A$49="D")*(_CALC!$H$2:$H$49=1),0),0)))</f>
        <v>0</v>
      </c>
      <c r="E14" s="36">
        <f>IF($B14="","",INDEX(_CALC!$F$2:$F$49,MATCH(1,INDEX((_CALC!$A$2:$A$49="D")*(_CALC!$H$2:$H$49=1),0),0)))</f>
        <v>0</v>
      </c>
      <c r="F14" s="36">
        <f>IF($B14="","",INDEX(_CALC!$G$2:$G$49,MATCH(1,INDEX((_CALC!$A$2:$A$49="D")*(_CALC!$H$2:$H$49=1),0),0)))</f>
        <v>0</v>
      </c>
      <c r="G14" s="36">
        <f>IF($B14="","",INDEX(_CALC!$D$2:$D$49,MATCH(1,INDEX((_CALC!$A$2:$A$49="D")*(_CALC!$H$2:$H$49=1),0),0)))</f>
        <v>0</v>
      </c>
      <c r="H14" s="37" t="str">
        <f>IF(A14&lt;=2,"CLASIFICA","FUERA")</f>
        <v>CLASIFICA</v>
      </c>
      <c r="J14" s="34">
        <v>1</v>
      </c>
      <c r="K14" s="35" t="str">
        <f>IFERROR(INDEX(_CALC!$B$2:$B$49,MATCH(1,INDEX((_CALC!$A$2:$A$49="E")*(_CALC!$H$2:$H$49=1),0),0)),"")</f>
        <v>🇨🇮 Costa de Marfil</v>
      </c>
      <c r="L14" s="36">
        <f>IF($K14="","",SUMPRODUCT(('1_GRUPOS'!$B$6:$B$200="E")*('1_GRUPOS'!$D$6:$D$200&lt;&gt;"")*('1_GRUPOS'!$E$6:$E$200&lt;&gt;"")*(('1_GRUPOS'!$C$6:$C$200=$K14)+('1_GRUPOS'!$F$6:$F$200=$K14))))</f>
        <v>0</v>
      </c>
      <c r="M14" s="36">
        <f>IF($K14="","",INDEX(_CALC!$E$2:$E$49,MATCH(1,INDEX((_CALC!$A$2:$A$49="E")*(_CALC!$H$2:$H$49=1),0),0)))</f>
        <v>0</v>
      </c>
      <c r="N14" s="36">
        <f>IF($K14="","",INDEX(_CALC!$F$2:$F$49,MATCH(1,INDEX((_CALC!$A$2:$A$49="E")*(_CALC!$H$2:$H$49=1),0),0)))</f>
        <v>0</v>
      </c>
      <c r="O14" s="36">
        <f>IF($K14="","",INDEX(_CALC!$G$2:$G$49,MATCH(1,INDEX((_CALC!$A$2:$A$49="E")*(_CALC!$H$2:$H$49=1),0),0)))</f>
        <v>0</v>
      </c>
      <c r="P14" s="36">
        <f>IF($K14="","",INDEX(_CALC!$D$2:$D$49,MATCH(1,INDEX((_CALC!$A$2:$A$49="E")*(_CALC!$H$2:$H$49=1),0),0)))</f>
        <v>0</v>
      </c>
      <c r="Q14" s="37" t="str">
        <f>IF(A14&lt;=2,"CLASIFICA","FUERA")</f>
        <v>CLASIFICA</v>
      </c>
      <c r="S14" s="34">
        <v>1</v>
      </c>
      <c r="T14" s="35" t="str">
        <f>IFERROR(INDEX(_CALC!$B$2:$B$49,MATCH(1,INDEX((_CALC!$A$2:$A$49="F")*(_CALC!$H$2:$H$49=1),0),0)),"")</f>
        <v>🇯🇵 Japón</v>
      </c>
      <c r="U14" s="36">
        <f>IF($T14="","",SUMPRODUCT(('1_GRUPOS'!$B$6:$B$200="F")*('1_GRUPOS'!$D$6:$D$200&lt;&gt;"")*('1_GRUPOS'!$E$6:$E$200&lt;&gt;"")*(('1_GRUPOS'!$C$6:$C$200=$T14)+('1_GRUPOS'!$F$6:$F$200=$T14))))</f>
        <v>0</v>
      </c>
      <c r="V14" s="36">
        <f>IF($T14="","",INDEX(_CALC!$E$2:$E$49,MATCH(1,INDEX((_CALC!$A$2:$A$49="F")*(_CALC!$H$2:$H$49=1),0),0)))</f>
        <v>0</v>
      </c>
      <c r="W14" s="36">
        <f>IF($T14="","",INDEX(_CALC!$F$2:$F$49,MATCH(1,INDEX((_CALC!$A$2:$A$49="F")*(_CALC!$H$2:$H$49=1),0),0)))</f>
        <v>0</v>
      </c>
      <c r="X14" s="36">
        <f>IF($T14="","",INDEX(_CALC!$G$2:$G$49,MATCH(1,INDEX((_CALC!$A$2:$A$49="F")*(_CALC!$H$2:$H$49=1),0),0)))</f>
        <v>0</v>
      </c>
      <c r="Y14" s="36">
        <f>IF($T14="","",INDEX(_CALC!$D$2:$D$49,MATCH(1,INDEX((_CALC!$A$2:$A$49="F")*(_CALC!$H$2:$H$49=1),0),0)))</f>
        <v>0</v>
      </c>
      <c r="Z14" s="37" t="str">
        <f>IF(A14&lt;=2,"CLASIFICA","FUERA")</f>
        <v>CLASIFICA</v>
      </c>
    </row>
    <row r="15" spans="1:26" ht="20" customHeight="1" x14ac:dyDescent="0.2">
      <c r="A15" s="34">
        <v>2</v>
      </c>
      <c r="B15" s="35" t="str">
        <f>IFERROR(INDEX(_CALC!$B$2:$B$49,MATCH(1,INDEX((_CALC!$A$2:$A$49="D")*(_CALC!$H$2:$H$49=2),0),0)),"")</f>
        <v>🇵🇾 Paraguay</v>
      </c>
      <c r="C15" s="36">
        <f>IF($B15="","",SUMPRODUCT(('1_GRUPOS'!$B$6:$B$200="D")*('1_GRUPOS'!$D$6:$D$200&lt;&gt;"")*('1_GRUPOS'!$E$6:$E$200&lt;&gt;"")*(('1_GRUPOS'!$C$6:$C$200=$B15)+('1_GRUPOS'!$F$6:$F$200=$B15))))</f>
        <v>0</v>
      </c>
      <c r="D15" s="36">
        <f>IF($B15="","",INDEX(_CALC!$E$2:$E$49,MATCH(1,INDEX((_CALC!$A$2:$A$49="D")*(_CALC!$H$2:$H$49=2),0),0)))</f>
        <v>0</v>
      </c>
      <c r="E15" s="36">
        <f>IF($B15="","",INDEX(_CALC!$F$2:$F$49,MATCH(1,INDEX((_CALC!$A$2:$A$49="D")*(_CALC!$H$2:$H$49=2),0),0)))</f>
        <v>0</v>
      </c>
      <c r="F15" s="36">
        <f>IF($B15="","",INDEX(_CALC!$G$2:$G$49,MATCH(1,INDEX((_CALC!$A$2:$A$49="D")*(_CALC!$H$2:$H$49=2),0),0)))</f>
        <v>0</v>
      </c>
      <c r="G15" s="36">
        <f>IF($B15="","",INDEX(_CALC!$D$2:$D$49,MATCH(1,INDEX((_CALC!$A$2:$A$49="D")*(_CALC!$H$2:$H$49=2),0),0)))</f>
        <v>0</v>
      </c>
      <c r="H15" s="37" t="str">
        <f>IF(A15&lt;=2,"CLASIFICA","FUERA")</f>
        <v>CLASIFICA</v>
      </c>
      <c r="J15" s="34">
        <v>2</v>
      </c>
      <c r="K15" s="35" t="str">
        <f>IFERROR(INDEX(_CALC!$B$2:$B$49,MATCH(1,INDEX((_CALC!$A$2:$A$49="E")*(_CALC!$H$2:$H$49=2),0),0)),"")</f>
        <v>🇨🇼 Curazao</v>
      </c>
      <c r="L15" s="36">
        <f>IF($K15="","",SUMPRODUCT(('1_GRUPOS'!$B$6:$B$200="E")*('1_GRUPOS'!$D$6:$D$200&lt;&gt;"")*('1_GRUPOS'!$E$6:$E$200&lt;&gt;"")*(('1_GRUPOS'!$C$6:$C$200=$K15)+('1_GRUPOS'!$F$6:$F$200=$K15))))</f>
        <v>0</v>
      </c>
      <c r="M15" s="36">
        <f>IF($K15="","",INDEX(_CALC!$E$2:$E$49,MATCH(1,INDEX((_CALC!$A$2:$A$49="E")*(_CALC!$H$2:$H$49=2),0),0)))</f>
        <v>0</v>
      </c>
      <c r="N15" s="36">
        <f>IF($K15="","",INDEX(_CALC!$F$2:$F$49,MATCH(1,INDEX((_CALC!$A$2:$A$49="E")*(_CALC!$H$2:$H$49=2),0),0)))</f>
        <v>0</v>
      </c>
      <c r="O15" s="36">
        <f>IF($K15="","",INDEX(_CALC!$G$2:$G$49,MATCH(1,INDEX((_CALC!$A$2:$A$49="E")*(_CALC!$H$2:$H$49=2),0),0)))</f>
        <v>0</v>
      </c>
      <c r="P15" s="36">
        <f>IF($K15="","",INDEX(_CALC!$D$2:$D$49,MATCH(1,INDEX((_CALC!$A$2:$A$49="E")*(_CALC!$H$2:$H$49=2),0),0)))</f>
        <v>0</v>
      </c>
      <c r="Q15" s="37" t="str">
        <f>IF(A15&lt;=2,"CLASIFICA","FUERA")</f>
        <v>CLASIFICA</v>
      </c>
      <c r="S15" s="34">
        <v>2</v>
      </c>
      <c r="T15" s="35" t="str">
        <f>IFERROR(INDEX(_CALC!$B$2:$B$49,MATCH(1,INDEX((_CALC!$A$2:$A$49="F")*(_CALC!$H$2:$H$49=2),0),0)),"")</f>
        <v>🇳🇱 Países Bajos</v>
      </c>
      <c r="U15" s="36">
        <f>IF($T15="","",SUMPRODUCT(('1_GRUPOS'!$B$6:$B$200="F")*('1_GRUPOS'!$D$6:$D$200&lt;&gt;"")*('1_GRUPOS'!$E$6:$E$200&lt;&gt;"")*(('1_GRUPOS'!$C$6:$C$200=$T15)+('1_GRUPOS'!$F$6:$F$200=$T15))))</f>
        <v>0</v>
      </c>
      <c r="V15" s="36">
        <f>IF($T15="","",INDEX(_CALC!$E$2:$E$49,MATCH(1,INDEX((_CALC!$A$2:$A$49="F")*(_CALC!$H$2:$H$49=2),0),0)))</f>
        <v>0</v>
      </c>
      <c r="W15" s="36">
        <f>IF($T15="","",INDEX(_CALC!$F$2:$F$49,MATCH(1,INDEX((_CALC!$A$2:$A$49="F")*(_CALC!$H$2:$H$49=2),0),0)))</f>
        <v>0</v>
      </c>
      <c r="X15" s="36">
        <f>IF($T15="","",INDEX(_CALC!$G$2:$G$49,MATCH(1,INDEX((_CALC!$A$2:$A$49="F")*(_CALC!$H$2:$H$49=2),0),0)))</f>
        <v>0</v>
      </c>
      <c r="Y15" s="36">
        <f>IF($T15="","",INDEX(_CALC!$D$2:$D$49,MATCH(1,INDEX((_CALC!$A$2:$A$49="F")*(_CALC!$H$2:$H$49=2),0),0)))</f>
        <v>0</v>
      </c>
      <c r="Z15" s="37" t="str">
        <f>IF(A15&lt;=2,"CLASIFICA","FUERA")</f>
        <v>CLASIFICA</v>
      </c>
    </row>
    <row r="16" spans="1:26" ht="20" customHeight="1" x14ac:dyDescent="0.2">
      <c r="A16" s="38">
        <v>3</v>
      </c>
      <c r="B16" s="39" t="str">
        <f>IFERROR(INDEX(_CALC!$B$2:$B$49,MATCH(1,INDEX((_CALC!$A$2:$A$49="D")*(_CALC!$H$2:$H$49=3),0),0)),"")</f>
        <v>🇺🇸 Estados Unidos</v>
      </c>
      <c r="C16" s="40">
        <f>IF($B16="","",SUMPRODUCT(('1_GRUPOS'!$B$6:$B$200="D")*('1_GRUPOS'!$D$6:$D$200&lt;&gt;"")*('1_GRUPOS'!$E$6:$E$200&lt;&gt;"")*(('1_GRUPOS'!$C$6:$C$200=$B16)+('1_GRUPOS'!$F$6:$F$200=$B16))))</f>
        <v>0</v>
      </c>
      <c r="D16" s="40">
        <f>IF($B16="","",INDEX(_CALC!$E$2:$E$49,MATCH(1,INDEX((_CALC!$A$2:$A$49="D")*(_CALC!$H$2:$H$49=3),0),0)))</f>
        <v>0</v>
      </c>
      <c r="E16" s="40">
        <f>IF($B16="","",INDEX(_CALC!$F$2:$F$49,MATCH(1,INDEX((_CALC!$A$2:$A$49="D")*(_CALC!$H$2:$H$49=3),0),0)))</f>
        <v>0</v>
      </c>
      <c r="F16" s="40">
        <f>IF($B16="","",INDEX(_CALC!$G$2:$G$49,MATCH(1,INDEX((_CALC!$A$2:$A$49="D")*(_CALC!$H$2:$H$49=3),0),0)))</f>
        <v>0</v>
      </c>
      <c r="G16" s="40">
        <f>IF($B16="","",INDEX(_CALC!$D$2:$D$49,MATCH(1,INDEX((_CALC!$A$2:$A$49="D")*(_CALC!$H$2:$H$49=3),0),0)))</f>
        <v>0</v>
      </c>
      <c r="H16" s="41" t="str">
        <f>IF(A16&lt;=2,"CLASIFICA","FUERA")</f>
        <v>FUERA</v>
      </c>
      <c r="J16" s="38">
        <v>3</v>
      </c>
      <c r="K16" s="39" t="str">
        <f>IFERROR(INDEX(_CALC!$B$2:$B$49,MATCH(1,INDEX((_CALC!$A$2:$A$49="E")*(_CALC!$H$2:$H$49=3),0),0)),"")</f>
        <v>🇩🇪 Alemania</v>
      </c>
      <c r="L16" s="40">
        <f>IF($K16="","",SUMPRODUCT(('1_GRUPOS'!$B$6:$B$200="E")*('1_GRUPOS'!$D$6:$D$200&lt;&gt;"")*('1_GRUPOS'!$E$6:$E$200&lt;&gt;"")*(('1_GRUPOS'!$C$6:$C$200=$K16)+('1_GRUPOS'!$F$6:$F$200=$K16))))</f>
        <v>0</v>
      </c>
      <c r="M16" s="40">
        <f>IF($K16="","",INDEX(_CALC!$E$2:$E$49,MATCH(1,INDEX((_CALC!$A$2:$A$49="E")*(_CALC!$H$2:$H$49=3),0),0)))</f>
        <v>0</v>
      </c>
      <c r="N16" s="40">
        <f>IF($K16="","",INDEX(_CALC!$F$2:$F$49,MATCH(1,INDEX((_CALC!$A$2:$A$49="E")*(_CALC!$H$2:$H$49=3),0),0)))</f>
        <v>0</v>
      </c>
      <c r="O16" s="40">
        <f>IF($K16="","",INDEX(_CALC!$G$2:$G$49,MATCH(1,INDEX((_CALC!$A$2:$A$49="E")*(_CALC!$H$2:$H$49=3),0),0)))</f>
        <v>0</v>
      </c>
      <c r="P16" s="40">
        <f>IF($K16="","",INDEX(_CALC!$D$2:$D$49,MATCH(1,INDEX((_CALC!$A$2:$A$49="E")*(_CALC!$H$2:$H$49=3),0),0)))</f>
        <v>0</v>
      </c>
      <c r="Q16" s="41" t="str">
        <f>IF(A16&lt;=2,"CLASIFICA","FUERA")</f>
        <v>FUERA</v>
      </c>
      <c r="S16" s="38">
        <v>3</v>
      </c>
      <c r="T16" s="39" t="str">
        <f>IFERROR(INDEX(_CALC!$B$2:$B$49,MATCH(1,INDEX((_CALC!$A$2:$A$49="F")*(_CALC!$H$2:$H$49=3),0),0)),"")</f>
        <v>🇹🇳 Túnez</v>
      </c>
      <c r="U16" s="40">
        <f>IF($T16="","",SUMPRODUCT(('1_GRUPOS'!$B$6:$B$200="F")*('1_GRUPOS'!$D$6:$D$200&lt;&gt;"")*('1_GRUPOS'!$E$6:$E$200&lt;&gt;"")*(('1_GRUPOS'!$C$6:$C$200=$T16)+('1_GRUPOS'!$F$6:$F$200=$T16))))</f>
        <v>0</v>
      </c>
      <c r="V16" s="40">
        <f>IF($T16="","",INDEX(_CALC!$E$2:$E$49,MATCH(1,INDEX((_CALC!$A$2:$A$49="F")*(_CALC!$H$2:$H$49=3),0),0)))</f>
        <v>0</v>
      </c>
      <c r="W16" s="40">
        <f>IF($T16="","",INDEX(_CALC!$F$2:$F$49,MATCH(1,INDEX((_CALC!$A$2:$A$49="F")*(_CALC!$H$2:$H$49=3),0),0)))</f>
        <v>0</v>
      </c>
      <c r="X16" s="40">
        <f>IF($T16="","",INDEX(_CALC!$G$2:$G$49,MATCH(1,INDEX((_CALC!$A$2:$A$49="F")*(_CALC!$H$2:$H$49=3),0),0)))</f>
        <v>0</v>
      </c>
      <c r="Y16" s="40">
        <f>IF($T16="","",INDEX(_CALC!$D$2:$D$49,MATCH(1,INDEX((_CALC!$A$2:$A$49="F")*(_CALC!$H$2:$H$49=3),0),0)))</f>
        <v>0</v>
      </c>
      <c r="Z16" s="41" t="str">
        <f>IF(A16&lt;=2,"CLASIFICA","FUERA")</f>
        <v>FUERA</v>
      </c>
    </row>
    <row r="17" spans="1:26" ht="20" customHeight="1" x14ac:dyDescent="0.2">
      <c r="A17" s="42">
        <v>4</v>
      </c>
      <c r="B17" s="43" t="str">
        <f>IFERROR(INDEX(_CALC!$B$2:$B$49,MATCH(1,INDEX((_CALC!$A$2:$A$49="D")*(_CALC!$H$2:$H$49=4),0),0)),"")</f>
        <v>🏳️ Kosovo/Turquía*</v>
      </c>
      <c r="C17" s="44">
        <f>IF($B17="","",SUMPRODUCT(('1_GRUPOS'!$B$6:$B$200="D")*('1_GRUPOS'!$D$6:$D$200&lt;&gt;"")*('1_GRUPOS'!$E$6:$E$200&lt;&gt;"")*(('1_GRUPOS'!$C$6:$C$200=$B17)+('1_GRUPOS'!$F$6:$F$200=$B17))))</f>
        <v>0</v>
      </c>
      <c r="D17" s="44">
        <f>IF($B17="","",INDEX(_CALC!$E$2:$E$49,MATCH(1,INDEX((_CALC!$A$2:$A$49="D")*(_CALC!$H$2:$H$49=4),0),0)))</f>
        <v>0</v>
      </c>
      <c r="E17" s="44">
        <f>IF($B17="","",INDEX(_CALC!$F$2:$F$49,MATCH(1,INDEX((_CALC!$A$2:$A$49="D")*(_CALC!$H$2:$H$49=4),0),0)))</f>
        <v>0</v>
      </c>
      <c r="F17" s="44">
        <f>IF($B17="","",INDEX(_CALC!$G$2:$G$49,MATCH(1,INDEX((_CALC!$A$2:$A$49="D")*(_CALC!$H$2:$H$49=4),0),0)))</f>
        <v>0</v>
      </c>
      <c r="G17" s="44">
        <f>IF($B17="","",INDEX(_CALC!$D$2:$D$49,MATCH(1,INDEX((_CALC!$A$2:$A$49="D")*(_CALC!$H$2:$H$49=4),0),0)))</f>
        <v>0</v>
      </c>
      <c r="H17" s="45" t="str">
        <f>IF(A17&lt;=2,"CLASIFICA","FUERA")</f>
        <v>FUERA</v>
      </c>
      <c r="J17" s="42">
        <v>4</v>
      </c>
      <c r="K17" s="43" t="str">
        <f>IFERROR(INDEX(_CALC!$B$2:$B$49,MATCH(1,INDEX((_CALC!$A$2:$A$49="E")*(_CALC!$H$2:$H$49=4),0),0)),"")</f>
        <v>🇪🇨 Ecuador</v>
      </c>
      <c r="L17" s="44">
        <f>IF($K17="","",SUMPRODUCT(('1_GRUPOS'!$B$6:$B$200="E")*('1_GRUPOS'!$D$6:$D$200&lt;&gt;"")*('1_GRUPOS'!$E$6:$E$200&lt;&gt;"")*(('1_GRUPOS'!$C$6:$C$200=$K17)+('1_GRUPOS'!$F$6:$F$200=$K17))))</f>
        <v>0</v>
      </c>
      <c r="M17" s="44">
        <f>IF($K17="","",INDEX(_CALC!$E$2:$E$49,MATCH(1,INDEX((_CALC!$A$2:$A$49="E")*(_CALC!$H$2:$H$49=4),0),0)))</f>
        <v>0</v>
      </c>
      <c r="N17" s="44">
        <f>IF($K17="","",INDEX(_CALC!$F$2:$F$49,MATCH(1,INDEX((_CALC!$A$2:$A$49="E")*(_CALC!$H$2:$H$49=4),0),0)))</f>
        <v>0</v>
      </c>
      <c r="O17" s="44">
        <f>IF($K17="","",INDEX(_CALC!$G$2:$G$49,MATCH(1,INDEX((_CALC!$A$2:$A$49="E")*(_CALC!$H$2:$H$49=4),0),0)))</f>
        <v>0</v>
      </c>
      <c r="P17" s="44">
        <f>IF($K17="","",INDEX(_CALC!$D$2:$D$49,MATCH(1,INDEX((_CALC!$A$2:$A$49="E")*(_CALC!$H$2:$H$49=4),0),0)))</f>
        <v>0</v>
      </c>
      <c r="Q17" s="45" t="str">
        <f>IF(A17&lt;=2,"CLASIFICA","FUERA")</f>
        <v>FUERA</v>
      </c>
      <c r="S17" s="42">
        <v>4</v>
      </c>
      <c r="T17" s="43" t="str">
        <f>IFERROR(INDEX(_CALC!$B$2:$B$49,MATCH(1,INDEX((_CALC!$A$2:$A$49="F")*(_CALC!$H$2:$H$49=4),0),0)),"")</f>
        <v>🏳️ Suecia/Polonia*</v>
      </c>
      <c r="U17" s="44">
        <f>IF($T17="","",SUMPRODUCT(('1_GRUPOS'!$B$6:$B$200="F")*('1_GRUPOS'!$D$6:$D$200&lt;&gt;"")*('1_GRUPOS'!$E$6:$E$200&lt;&gt;"")*(('1_GRUPOS'!$C$6:$C$200=$T17)+('1_GRUPOS'!$F$6:$F$200=$T17))))</f>
        <v>0</v>
      </c>
      <c r="V17" s="44">
        <f>IF($T17="","",INDEX(_CALC!$E$2:$E$49,MATCH(1,INDEX((_CALC!$A$2:$A$49="F")*(_CALC!$H$2:$H$49=4),0),0)))</f>
        <v>0</v>
      </c>
      <c r="W17" s="44">
        <f>IF($T17="","",INDEX(_CALC!$F$2:$F$49,MATCH(1,INDEX((_CALC!$A$2:$A$49="F")*(_CALC!$H$2:$H$49=4),0),0)))</f>
        <v>0</v>
      </c>
      <c r="X17" s="44">
        <f>IF($T17="","",INDEX(_CALC!$G$2:$G$49,MATCH(1,INDEX((_CALC!$A$2:$A$49="F")*(_CALC!$H$2:$H$49=4),0),0)))</f>
        <v>0</v>
      </c>
      <c r="Y17" s="44">
        <f>IF($T17="","",INDEX(_CALC!$D$2:$D$49,MATCH(1,INDEX((_CALC!$A$2:$A$49="F")*(_CALC!$H$2:$H$49=4),0),0)))</f>
        <v>0</v>
      </c>
      <c r="Z17" s="45" t="str">
        <f>IF(A17&lt;=2,"CLASIFICA","FUERA")</f>
        <v>FUERA</v>
      </c>
    </row>
    <row r="18" spans="1:26" ht="20" customHeight="1" x14ac:dyDescent="0.2"/>
    <row r="19" spans="1:26" ht="20" customHeight="1" x14ac:dyDescent="0.2"/>
    <row r="20" spans="1:26" ht="20" customHeight="1" x14ac:dyDescent="0.2">
      <c r="A20" s="72" t="s">
        <v>239</v>
      </c>
      <c r="B20" s="73"/>
      <c r="C20" s="73"/>
      <c r="D20" s="73"/>
      <c r="E20" s="73"/>
      <c r="F20" s="73"/>
      <c r="G20" s="73"/>
      <c r="H20" s="74"/>
      <c r="J20" s="72" t="s">
        <v>240</v>
      </c>
      <c r="K20" s="73"/>
      <c r="L20" s="73"/>
      <c r="M20" s="73"/>
      <c r="N20" s="73"/>
      <c r="O20" s="73"/>
      <c r="P20" s="73"/>
      <c r="Q20" s="74"/>
      <c r="S20" s="72" t="s">
        <v>241</v>
      </c>
      <c r="T20" s="73"/>
      <c r="U20" s="73"/>
      <c r="V20" s="73"/>
      <c r="W20" s="73"/>
      <c r="X20" s="73"/>
      <c r="Y20" s="73"/>
      <c r="Z20" s="74"/>
    </row>
    <row r="21" spans="1:26" ht="20" customHeight="1" x14ac:dyDescent="0.2">
      <c r="A21" s="31" t="s">
        <v>229</v>
      </c>
      <c r="B21" s="32" t="s">
        <v>230</v>
      </c>
      <c r="C21" s="32" t="s">
        <v>231</v>
      </c>
      <c r="D21" s="32" t="s">
        <v>215</v>
      </c>
      <c r="E21" s="32" t="s">
        <v>232</v>
      </c>
      <c r="F21" s="32" t="s">
        <v>233</v>
      </c>
      <c r="G21" s="32" t="s">
        <v>234</v>
      </c>
      <c r="H21" s="33" t="s">
        <v>235</v>
      </c>
      <c r="J21" s="31" t="s">
        <v>229</v>
      </c>
      <c r="K21" s="32" t="s">
        <v>230</v>
      </c>
      <c r="L21" s="32" t="s">
        <v>231</v>
      </c>
      <c r="M21" s="32" t="s">
        <v>215</v>
      </c>
      <c r="N21" s="32" t="s">
        <v>232</v>
      </c>
      <c r="O21" s="32" t="s">
        <v>233</v>
      </c>
      <c r="P21" s="32" t="s">
        <v>234</v>
      </c>
      <c r="Q21" s="33" t="s">
        <v>235</v>
      </c>
      <c r="S21" s="31" t="s">
        <v>229</v>
      </c>
      <c r="T21" s="32" t="s">
        <v>230</v>
      </c>
      <c r="U21" s="32" t="s">
        <v>231</v>
      </c>
      <c r="V21" s="32" t="s">
        <v>215</v>
      </c>
      <c r="W21" s="32" t="s">
        <v>232</v>
      </c>
      <c r="X21" s="32" t="s">
        <v>233</v>
      </c>
      <c r="Y21" s="32" t="s">
        <v>234</v>
      </c>
      <c r="Z21" s="33" t="s">
        <v>235</v>
      </c>
    </row>
    <row r="22" spans="1:26" ht="20" customHeight="1" x14ac:dyDescent="0.2">
      <c r="A22" s="34">
        <v>1</v>
      </c>
      <c r="B22" s="35" t="str">
        <f>IFERROR(INDEX(_CALC!$B$2:$B$49,MATCH(1,INDEX((_CALC!$A$2:$A$49="G")*(_CALC!$H$2:$H$49=1),0),0)),"")</f>
        <v>🇧🇪 Bélgica</v>
      </c>
      <c r="C22" s="36">
        <f>IF($B22="","",SUMPRODUCT(('1_GRUPOS'!$B$6:$B$200="G")*('1_GRUPOS'!$D$6:$D$200&lt;&gt;"")*('1_GRUPOS'!$E$6:$E$200&lt;&gt;"")*(('1_GRUPOS'!$C$6:$C$200=$B22)+('1_GRUPOS'!$F$6:$F$200=$B22))))</f>
        <v>0</v>
      </c>
      <c r="D22" s="36">
        <f>IF($B22="","",INDEX(_CALC!$E$2:$E$49,MATCH(1,INDEX((_CALC!$A$2:$A$49="G")*(_CALC!$H$2:$H$49=1),0),0)))</f>
        <v>0</v>
      </c>
      <c r="E22" s="36">
        <f>IF($B22="","",INDEX(_CALC!$F$2:$F$49,MATCH(1,INDEX((_CALC!$A$2:$A$49="G")*(_CALC!$H$2:$H$49=1),0),0)))</f>
        <v>0</v>
      </c>
      <c r="F22" s="36">
        <f>IF($B22="","",INDEX(_CALC!$G$2:$G$49,MATCH(1,INDEX((_CALC!$A$2:$A$49="G")*(_CALC!$H$2:$H$49=1),0),0)))</f>
        <v>0</v>
      </c>
      <c r="G22" s="36">
        <f>IF($B22="","",INDEX(_CALC!$D$2:$D$49,MATCH(1,INDEX((_CALC!$A$2:$A$49="G")*(_CALC!$H$2:$H$49=1),0),0)))</f>
        <v>0</v>
      </c>
      <c r="H22" s="37" t="str">
        <f>IF(A22&lt;=2,"CLASIFICA","FUERA")</f>
        <v>CLASIFICA</v>
      </c>
      <c r="J22" s="34">
        <v>1</v>
      </c>
      <c r="K22" s="35" t="str">
        <f>IFERROR(INDEX(_CALC!$B$2:$B$49,MATCH(1,INDEX((_CALC!$A$2:$A$49="H")*(_CALC!$H$2:$H$49=1),0),0)),"")</f>
        <v>🇨🇻 Cabo Verde</v>
      </c>
      <c r="L22" s="36">
        <f>IF($K22="","",SUMPRODUCT(('1_GRUPOS'!$B$6:$B$200="H")*('1_GRUPOS'!$D$6:$D$200&lt;&gt;"")*('1_GRUPOS'!$E$6:$E$200&lt;&gt;"")*(('1_GRUPOS'!$C$6:$C$200=$K22)+('1_GRUPOS'!$F$6:$F$200=$K22))))</f>
        <v>0</v>
      </c>
      <c r="M22" s="36">
        <f>IF($K22="","",INDEX(_CALC!$E$2:$E$49,MATCH(1,INDEX((_CALC!$A$2:$A$49="H")*(_CALC!$H$2:$H$49=1),0),0)))</f>
        <v>0</v>
      </c>
      <c r="N22" s="36">
        <f>IF($K22="","",INDEX(_CALC!$F$2:$F$49,MATCH(1,INDEX((_CALC!$A$2:$A$49="H")*(_CALC!$H$2:$H$49=1),0),0)))</f>
        <v>0</v>
      </c>
      <c r="O22" s="36">
        <f>IF($K22="","",INDEX(_CALC!$G$2:$G$49,MATCH(1,INDEX((_CALC!$A$2:$A$49="H")*(_CALC!$H$2:$H$49=1),0),0)))</f>
        <v>0</v>
      </c>
      <c r="P22" s="36">
        <f>IF($K22="","",INDEX(_CALC!$D$2:$D$49,MATCH(1,INDEX((_CALC!$A$2:$A$49="H")*(_CALC!$H$2:$H$49=1),0),0)))</f>
        <v>0</v>
      </c>
      <c r="Q22" s="37" t="str">
        <f>IF(A22&lt;=2,"CLASIFICA","FUERA")</f>
        <v>CLASIFICA</v>
      </c>
      <c r="S22" s="34">
        <v>1</v>
      </c>
      <c r="T22" s="35" t="str">
        <f>IFERROR(INDEX(_CALC!$B$2:$B$49,MATCH(1,INDEX((_CALC!$A$2:$A$49="I")*(_CALC!$H$2:$H$49=1),0),0)),"")</f>
        <v>🇫🇷 Francia</v>
      </c>
      <c r="U22" s="36">
        <f>IF($T22="","",SUMPRODUCT(('1_GRUPOS'!$B$6:$B$200="I")*('1_GRUPOS'!$D$6:$D$200&lt;&gt;"")*('1_GRUPOS'!$E$6:$E$200&lt;&gt;"")*(('1_GRUPOS'!$C$6:$C$200=$T22)+('1_GRUPOS'!$F$6:$F$200=$T22))))</f>
        <v>0</v>
      </c>
      <c r="V22" s="36">
        <f>IF($T22="","",INDEX(_CALC!$E$2:$E$49,MATCH(1,INDEX((_CALC!$A$2:$A$49="I")*(_CALC!$H$2:$H$49=1),0),0)))</f>
        <v>0</v>
      </c>
      <c r="W22" s="36">
        <f>IF($T22="","",INDEX(_CALC!$F$2:$F$49,MATCH(1,INDEX((_CALC!$A$2:$A$49="I")*(_CALC!$H$2:$H$49=1),0),0)))</f>
        <v>0</v>
      </c>
      <c r="X22" s="36">
        <f>IF($T22="","",INDEX(_CALC!$G$2:$G$49,MATCH(1,INDEX((_CALC!$A$2:$A$49="I")*(_CALC!$H$2:$H$49=1),0),0)))</f>
        <v>0</v>
      </c>
      <c r="Y22" s="36">
        <f>IF($T22="","",INDEX(_CALC!$D$2:$D$49,MATCH(1,INDEX((_CALC!$A$2:$A$49="I")*(_CALC!$H$2:$H$49=1),0),0)))</f>
        <v>0</v>
      </c>
      <c r="Z22" s="37" t="str">
        <f>IF(A22&lt;=2,"CLASIFICA","FUERA")</f>
        <v>CLASIFICA</v>
      </c>
    </row>
    <row r="23" spans="1:26" ht="20" customHeight="1" x14ac:dyDescent="0.2">
      <c r="A23" s="34">
        <v>2</v>
      </c>
      <c r="B23" s="35" t="str">
        <f>IFERROR(INDEX(_CALC!$B$2:$B$49,MATCH(1,INDEX((_CALC!$A$2:$A$49="G")*(_CALC!$H$2:$H$49=2),0),0)),"")</f>
        <v>🇪🇬 Egipto</v>
      </c>
      <c r="C23" s="36">
        <f>IF($B23="","",SUMPRODUCT(('1_GRUPOS'!$B$6:$B$200="G")*('1_GRUPOS'!$D$6:$D$200&lt;&gt;"")*('1_GRUPOS'!$E$6:$E$200&lt;&gt;"")*(('1_GRUPOS'!$C$6:$C$200=$B23)+('1_GRUPOS'!$F$6:$F$200=$B23))))</f>
        <v>0</v>
      </c>
      <c r="D23" s="36">
        <f>IF($B23="","",INDEX(_CALC!$E$2:$E$49,MATCH(1,INDEX((_CALC!$A$2:$A$49="G")*(_CALC!$H$2:$H$49=2),0),0)))</f>
        <v>0</v>
      </c>
      <c r="E23" s="36">
        <f>IF($B23="","",INDEX(_CALC!$F$2:$F$49,MATCH(1,INDEX((_CALC!$A$2:$A$49="G")*(_CALC!$H$2:$H$49=2),0),0)))</f>
        <v>0</v>
      </c>
      <c r="F23" s="36">
        <f>IF($B23="","",INDEX(_CALC!$G$2:$G$49,MATCH(1,INDEX((_CALC!$A$2:$A$49="G")*(_CALC!$H$2:$H$49=2),0),0)))</f>
        <v>0</v>
      </c>
      <c r="G23" s="36">
        <f>IF($B23="","",INDEX(_CALC!$D$2:$D$49,MATCH(1,INDEX((_CALC!$A$2:$A$49="G")*(_CALC!$H$2:$H$49=2),0),0)))</f>
        <v>0</v>
      </c>
      <c r="H23" s="37" t="str">
        <f>IF(A23&lt;=2,"CLASIFICA","FUERA")</f>
        <v>CLASIFICA</v>
      </c>
      <c r="J23" s="34">
        <v>2</v>
      </c>
      <c r="K23" s="35" t="str">
        <f>IFERROR(INDEX(_CALC!$B$2:$B$49,MATCH(1,INDEX((_CALC!$A$2:$A$49="H")*(_CALC!$H$2:$H$49=2),0),0)),"")</f>
        <v>🇪🇸 España</v>
      </c>
      <c r="L23" s="36">
        <f>IF($K23="","",SUMPRODUCT(('1_GRUPOS'!$B$6:$B$200="H")*('1_GRUPOS'!$D$6:$D$200&lt;&gt;"")*('1_GRUPOS'!$E$6:$E$200&lt;&gt;"")*(('1_GRUPOS'!$C$6:$C$200=$K23)+('1_GRUPOS'!$F$6:$F$200=$K23))))</f>
        <v>0</v>
      </c>
      <c r="M23" s="36">
        <f>IF($K23="","",INDEX(_CALC!$E$2:$E$49,MATCH(1,INDEX((_CALC!$A$2:$A$49="H")*(_CALC!$H$2:$H$49=2),0),0)))</f>
        <v>0</v>
      </c>
      <c r="N23" s="36">
        <f>IF($K23="","",INDEX(_CALC!$F$2:$F$49,MATCH(1,INDEX((_CALC!$A$2:$A$49="H")*(_CALC!$H$2:$H$49=2),0),0)))</f>
        <v>0</v>
      </c>
      <c r="O23" s="36">
        <f>IF($K23="","",INDEX(_CALC!$G$2:$G$49,MATCH(1,INDEX((_CALC!$A$2:$A$49="H")*(_CALC!$H$2:$H$49=2),0),0)))</f>
        <v>0</v>
      </c>
      <c r="P23" s="36">
        <f>IF($K23="","",INDEX(_CALC!$D$2:$D$49,MATCH(1,INDEX((_CALC!$A$2:$A$49="H")*(_CALC!$H$2:$H$49=2),0),0)))</f>
        <v>0</v>
      </c>
      <c r="Q23" s="37" t="str">
        <f>IF(A23&lt;=2,"CLASIFICA","FUERA")</f>
        <v>CLASIFICA</v>
      </c>
      <c r="S23" s="34">
        <v>2</v>
      </c>
      <c r="T23" s="35" t="str">
        <f>IFERROR(INDEX(_CALC!$B$2:$B$49,MATCH(1,INDEX((_CALC!$A$2:$A$49="I")*(_CALC!$H$2:$H$49=2),0),0)),"")</f>
        <v>🇳🇴 Noruega</v>
      </c>
      <c r="U23" s="36">
        <f>IF($T23="","",SUMPRODUCT(('1_GRUPOS'!$B$6:$B$200="I")*('1_GRUPOS'!$D$6:$D$200&lt;&gt;"")*('1_GRUPOS'!$E$6:$E$200&lt;&gt;"")*(('1_GRUPOS'!$C$6:$C$200=$T23)+('1_GRUPOS'!$F$6:$F$200=$T23))))</f>
        <v>0</v>
      </c>
      <c r="V23" s="36">
        <f>IF($T23="","",INDEX(_CALC!$E$2:$E$49,MATCH(1,INDEX((_CALC!$A$2:$A$49="I")*(_CALC!$H$2:$H$49=2),0),0)))</f>
        <v>0</v>
      </c>
      <c r="W23" s="36">
        <f>IF($T23="","",INDEX(_CALC!$F$2:$F$49,MATCH(1,INDEX((_CALC!$A$2:$A$49="I")*(_CALC!$H$2:$H$49=2),0),0)))</f>
        <v>0</v>
      </c>
      <c r="X23" s="36">
        <f>IF($T23="","",INDEX(_CALC!$G$2:$G$49,MATCH(1,INDEX((_CALC!$A$2:$A$49="I")*(_CALC!$H$2:$H$49=2),0),0)))</f>
        <v>0</v>
      </c>
      <c r="Y23" s="36">
        <f>IF($T23="","",INDEX(_CALC!$D$2:$D$49,MATCH(1,INDEX((_CALC!$A$2:$A$49="I")*(_CALC!$H$2:$H$49=2),0),0)))</f>
        <v>0</v>
      </c>
      <c r="Z23" s="37" t="str">
        <f>IF(A23&lt;=2,"CLASIFICA","FUERA")</f>
        <v>CLASIFICA</v>
      </c>
    </row>
    <row r="24" spans="1:26" ht="20" customHeight="1" x14ac:dyDescent="0.2">
      <c r="A24" s="38">
        <v>3</v>
      </c>
      <c r="B24" s="39" t="str">
        <f>IFERROR(INDEX(_CALC!$B$2:$B$49,MATCH(1,INDEX((_CALC!$A$2:$A$49="G")*(_CALC!$H$2:$H$49=3),0),0)),"")</f>
        <v>🇮🇷 Irán</v>
      </c>
      <c r="C24" s="40">
        <f>IF($B24="","",SUMPRODUCT(('1_GRUPOS'!$B$6:$B$200="G")*('1_GRUPOS'!$D$6:$D$200&lt;&gt;"")*('1_GRUPOS'!$E$6:$E$200&lt;&gt;"")*(('1_GRUPOS'!$C$6:$C$200=$B24)+('1_GRUPOS'!$F$6:$F$200=$B24))))</f>
        <v>0</v>
      </c>
      <c r="D24" s="40">
        <f>IF($B24="","",INDEX(_CALC!$E$2:$E$49,MATCH(1,INDEX((_CALC!$A$2:$A$49="G")*(_CALC!$H$2:$H$49=3),0),0)))</f>
        <v>0</v>
      </c>
      <c r="E24" s="40">
        <f>IF($B24="","",INDEX(_CALC!$F$2:$F$49,MATCH(1,INDEX((_CALC!$A$2:$A$49="G")*(_CALC!$H$2:$H$49=3),0),0)))</f>
        <v>0</v>
      </c>
      <c r="F24" s="40">
        <f>IF($B24="","",INDEX(_CALC!$G$2:$G$49,MATCH(1,INDEX((_CALC!$A$2:$A$49="G")*(_CALC!$H$2:$H$49=3),0),0)))</f>
        <v>0</v>
      </c>
      <c r="G24" s="40">
        <f>IF($B24="","",INDEX(_CALC!$D$2:$D$49,MATCH(1,INDEX((_CALC!$A$2:$A$49="G")*(_CALC!$H$2:$H$49=3),0),0)))</f>
        <v>0</v>
      </c>
      <c r="H24" s="41" t="str">
        <f>IF(A24&lt;=2,"CLASIFICA","FUERA")</f>
        <v>FUERA</v>
      </c>
      <c r="J24" s="38">
        <v>3</v>
      </c>
      <c r="K24" s="39" t="str">
        <f>IFERROR(INDEX(_CALC!$B$2:$B$49,MATCH(1,INDEX((_CALC!$A$2:$A$49="H")*(_CALC!$H$2:$H$49=3),0),0)),"")</f>
        <v>🇸🇦 Arabia Saudita</v>
      </c>
      <c r="L24" s="40">
        <f>IF($K24="","",SUMPRODUCT(('1_GRUPOS'!$B$6:$B$200="H")*('1_GRUPOS'!$D$6:$D$200&lt;&gt;"")*('1_GRUPOS'!$E$6:$E$200&lt;&gt;"")*(('1_GRUPOS'!$C$6:$C$200=$K24)+('1_GRUPOS'!$F$6:$F$200=$K24))))</f>
        <v>0</v>
      </c>
      <c r="M24" s="40">
        <f>IF($K24="","",INDEX(_CALC!$E$2:$E$49,MATCH(1,INDEX((_CALC!$A$2:$A$49="H")*(_CALC!$H$2:$H$49=3),0),0)))</f>
        <v>0</v>
      </c>
      <c r="N24" s="40">
        <f>IF($K24="","",INDEX(_CALC!$F$2:$F$49,MATCH(1,INDEX((_CALC!$A$2:$A$49="H")*(_CALC!$H$2:$H$49=3),0),0)))</f>
        <v>0</v>
      </c>
      <c r="O24" s="40">
        <f>IF($K24="","",INDEX(_CALC!$G$2:$G$49,MATCH(1,INDEX((_CALC!$A$2:$A$49="H")*(_CALC!$H$2:$H$49=3),0),0)))</f>
        <v>0</v>
      </c>
      <c r="P24" s="40">
        <f>IF($K24="","",INDEX(_CALC!$D$2:$D$49,MATCH(1,INDEX((_CALC!$A$2:$A$49="H")*(_CALC!$H$2:$H$49=3),0),0)))</f>
        <v>0</v>
      </c>
      <c r="Q24" s="41" t="str">
        <f>IF(A24&lt;=2,"CLASIFICA","FUERA")</f>
        <v>FUERA</v>
      </c>
      <c r="S24" s="38">
        <v>3</v>
      </c>
      <c r="T24" s="39" t="str">
        <f>IFERROR(INDEX(_CALC!$B$2:$B$49,MATCH(1,INDEX((_CALC!$A$2:$A$49="I")*(_CALC!$H$2:$H$49=3),0),0)),"")</f>
        <v>🇸🇳 Senegal</v>
      </c>
      <c r="U24" s="40">
        <f>IF($T24="","",SUMPRODUCT(('1_GRUPOS'!$B$6:$B$200="I")*('1_GRUPOS'!$D$6:$D$200&lt;&gt;"")*('1_GRUPOS'!$E$6:$E$200&lt;&gt;"")*(('1_GRUPOS'!$C$6:$C$200=$T24)+('1_GRUPOS'!$F$6:$F$200=$T24))))</f>
        <v>0</v>
      </c>
      <c r="V24" s="40">
        <f>IF($T24="","",INDEX(_CALC!$E$2:$E$49,MATCH(1,INDEX((_CALC!$A$2:$A$49="I")*(_CALC!$H$2:$H$49=3),0),0)))</f>
        <v>0</v>
      </c>
      <c r="W24" s="40">
        <f>IF($T24="","",INDEX(_CALC!$F$2:$F$49,MATCH(1,INDEX((_CALC!$A$2:$A$49="I")*(_CALC!$H$2:$H$49=3),0),0)))</f>
        <v>0</v>
      </c>
      <c r="X24" s="40">
        <f>IF($T24="","",INDEX(_CALC!$G$2:$G$49,MATCH(1,INDEX((_CALC!$A$2:$A$49="I")*(_CALC!$H$2:$H$49=3),0),0)))</f>
        <v>0</v>
      </c>
      <c r="Y24" s="40">
        <f>IF($T24="","",INDEX(_CALC!$D$2:$D$49,MATCH(1,INDEX((_CALC!$A$2:$A$49="I")*(_CALC!$H$2:$H$49=3),0),0)))</f>
        <v>0</v>
      </c>
      <c r="Z24" s="41" t="str">
        <f>IF(A24&lt;=2,"CLASIFICA","FUERA")</f>
        <v>FUERA</v>
      </c>
    </row>
    <row r="25" spans="1:26" ht="20" customHeight="1" x14ac:dyDescent="0.2">
      <c r="A25" s="42">
        <v>4</v>
      </c>
      <c r="B25" s="43" t="str">
        <f>IFERROR(INDEX(_CALC!$B$2:$B$49,MATCH(1,INDEX((_CALC!$A$2:$A$49="G")*(_CALC!$H$2:$H$49=4),0),0)),"")</f>
        <v>🇳🇿 Nueva Zelanda</v>
      </c>
      <c r="C25" s="44">
        <f>IF($B25="","",SUMPRODUCT(('1_GRUPOS'!$B$6:$B$200="G")*('1_GRUPOS'!$D$6:$D$200&lt;&gt;"")*('1_GRUPOS'!$E$6:$E$200&lt;&gt;"")*(('1_GRUPOS'!$C$6:$C$200=$B25)+('1_GRUPOS'!$F$6:$F$200=$B25))))</f>
        <v>0</v>
      </c>
      <c r="D25" s="44">
        <f>IF($B25="","",INDEX(_CALC!$E$2:$E$49,MATCH(1,INDEX((_CALC!$A$2:$A$49="G")*(_CALC!$H$2:$H$49=4),0),0)))</f>
        <v>0</v>
      </c>
      <c r="E25" s="44">
        <f>IF($B25="","",INDEX(_CALC!$F$2:$F$49,MATCH(1,INDEX((_CALC!$A$2:$A$49="G")*(_CALC!$H$2:$H$49=4),0),0)))</f>
        <v>0</v>
      </c>
      <c r="F25" s="44">
        <f>IF($B25="","",INDEX(_CALC!$G$2:$G$49,MATCH(1,INDEX((_CALC!$A$2:$A$49="G")*(_CALC!$H$2:$H$49=4),0),0)))</f>
        <v>0</v>
      </c>
      <c r="G25" s="44">
        <f>IF($B25="","",INDEX(_CALC!$D$2:$D$49,MATCH(1,INDEX((_CALC!$A$2:$A$49="G")*(_CALC!$H$2:$H$49=4),0),0)))</f>
        <v>0</v>
      </c>
      <c r="H25" s="45" t="str">
        <f>IF(A25&lt;=2,"CLASIFICA","FUERA")</f>
        <v>FUERA</v>
      </c>
      <c r="J25" s="42">
        <v>4</v>
      </c>
      <c r="K25" s="43" t="str">
        <f>IFERROR(INDEX(_CALC!$B$2:$B$49,MATCH(1,INDEX((_CALC!$A$2:$A$49="H")*(_CALC!$H$2:$H$49=4),0),0)),"")</f>
        <v>🇺🇾 Uruguay</v>
      </c>
      <c r="L25" s="44">
        <f>IF($K25="","",SUMPRODUCT(('1_GRUPOS'!$B$6:$B$200="H")*('1_GRUPOS'!$D$6:$D$200&lt;&gt;"")*('1_GRUPOS'!$E$6:$E$200&lt;&gt;"")*(('1_GRUPOS'!$C$6:$C$200=$K25)+('1_GRUPOS'!$F$6:$F$200=$K25))))</f>
        <v>0</v>
      </c>
      <c r="M25" s="44">
        <f>IF($K25="","",INDEX(_CALC!$E$2:$E$49,MATCH(1,INDEX((_CALC!$A$2:$A$49="H")*(_CALC!$H$2:$H$49=4),0),0)))</f>
        <v>0</v>
      </c>
      <c r="N25" s="44">
        <f>IF($K25="","",INDEX(_CALC!$F$2:$F$49,MATCH(1,INDEX((_CALC!$A$2:$A$49="H")*(_CALC!$H$2:$H$49=4),0),0)))</f>
        <v>0</v>
      </c>
      <c r="O25" s="44">
        <f>IF($K25="","",INDEX(_CALC!$G$2:$G$49,MATCH(1,INDEX((_CALC!$A$2:$A$49="H")*(_CALC!$H$2:$H$49=4),0),0)))</f>
        <v>0</v>
      </c>
      <c r="P25" s="44">
        <f>IF($K25="","",INDEX(_CALC!$D$2:$D$49,MATCH(1,INDEX((_CALC!$A$2:$A$49="H")*(_CALC!$H$2:$H$49=4),0),0)))</f>
        <v>0</v>
      </c>
      <c r="Q25" s="45" t="str">
        <f>IF(A25&lt;=2,"CLASIFICA","FUERA")</f>
        <v>FUERA</v>
      </c>
      <c r="S25" s="42">
        <v>4</v>
      </c>
      <c r="T25" s="43" t="str">
        <f>IFERROR(INDEX(_CALC!$B$2:$B$49,MATCH(1,INDEX((_CALC!$A$2:$A$49="I")*(_CALC!$H$2:$H$49=4),0),0)),"")</f>
        <v>🏳️ Bolivia/Irak*</v>
      </c>
      <c r="U25" s="44">
        <f>IF($T25="","",SUMPRODUCT(('1_GRUPOS'!$B$6:$B$200="I")*('1_GRUPOS'!$D$6:$D$200&lt;&gt;"")*('1_GRUPOS'!$E$6:$E$200&lt;&gt;"")*(('1_GRUPOS'!$C$6:$C$200=$T25)+('1_GRUPOS'!$F$6:$F$200=$T25))))</f>
        <v>0</v>
      </c>
      <c r="V25" s="44">
        <f>IF($T25="","",INDEX(_CALC!$E$2:$E$49,MATCH(1,INDEX((_CALC!$A$2:$A$49="I")*(_CALC!$H$2:$H$49=4),0),0)))</f>
        <v>0</v>
      </c>
      <c r="W25" s="44">
        <f>IF($T25="","",INDEX(_CALC!$F$2:$F$49,MATCH(1,INDEX((_CALC!$A$2:$A$49="I")*(_CALC!$H$2:$H$49=4),0),0)))</f>
        <v>0</v>
      </c>
      <c r="X25" s="44">
        <f>IF($T25="","",INDEX(_CALC!$G$2:$G$49,MATCH(1,INDEX((_CALC!$A$2:$A$49="I")*(_CALC!$H$2:$H$49=4),0),0)))</f>
        <v>0</v>
      </c>
      <c r="Y25" s="44">
        <f>IF($T25="","",INDEX(_CALC!$D$2:$D$49,MATCH(1,INDEX((_CALC!$A$2:$A$49="I")*(_CALC!$H$2:$H$49=4),0),0)))</f>
        <v>0</v>
      </c>
      <c r="Z25" s="45" t="str">
        <f>IF(A25&lt;=2,"CLASIFICA","FUERA")</f>
        <v>FUERA</v>
      </c>
    </row>
    <row r="26" spans="1:26" ht="20" customHeight="1" x14ac:dyDescent="0.2"/>
    <row r="27" spans="1:26" ht="20" customHeight="1" x14ac:dyDescent="0.2"/>
    <row r="28" spans="1:26" ht="20" customHeight="1" x14ac:dyDescent="0.2">
      <c r="A28" s="72" t="s">
        <v>242</v>
      </c>
      <c r="B28" s="73"/>
      <c r="C28" s="73"/>
      <c r="D28" s="73"/>
      <c r="E28" s="73"/>
      <c r="F28" s="73"/>
      <c r="G28" s="73"/>
      <c r="H28" s="74"/>
      <c r="J28" s="72" t="s">
        <v>243</v>
      </c>
      <c r="K28" s="73"/>
      <c r="L28" s="73"/>
      <c r="M28" s="73"/>
      <c r="N28" s="73"/>
      <c r="O28" s="73"/>
      <c r="P28" s="73"/>
      <c r="Q28" s="74"/>
      <c r="S28" s="72" t="s">
        <v>244</v>
      </c>
      <c r="T28" s="73"/>
      <c r="U28" s="73"/>
      <c r="V28" s="73"/>
      <c r="W28" s="73"/>
      <c r="X28" s="73"/>
      <c r="Y28" s="73"/>
      <c r="Z28" s="74"/>
    </row>
    <row r="29" spans="1:26" ht="20" customHeight="1" x14ac:dyDescent="0.2">
      <c r="A29" s="31" t="s">
        <v>229</v>
      </c>
      <c r="B29" s="32" t="s">
        <v>230</v>
      </c>
      <c r="C29" s="32" t="s">
        <v>231</v>
      </c>
      <c r="D29" s="32" t="s">
        <v>215</v>
      </c>
      <c r="E29" s="32" t="s">
        <v>232</v>
      </c>
      <c r="F29" s="32" t="s">
        <v>233</v>
      </c>
      <c r="G29" s="32" t="s">
        <v>234</v>
      </c>
      <c r="H29" s="33" t="s">
        <v>235</v>
      </c>
      <c r="J29" s="31" t="s">
        <v>229</v>
      </c>
      <c r="K29" s="32" t="s">
        <v>230</v>
      </c>
      <c r="L29" s="32" t="s">
        <v>231</v>
      </c>
      <c r="M29" s="32" t="s">
        <v>215</v>
      </c>
      <c r="N29" s="32" t="s">
        <v>232</v>
      </c>
      <c r="O29" s="32" t="s">
        <v>233</v>
      </c>
      <c r="P29" s="32" t="s">
        <v>234</v>
      </c>
      <c r="Q29" s="33" t="s">
        <v>235</v>
      </c>
      <c r="S29" s="31" t="s">
        <v>229</v>
      </c>
      <c r="T29" s="32" t="s">
        <v>230</v>
      </c>
      <c r="U29" s="32" t="s">
        <v>231</v>
      </c>
      <c r="V29" s="32" t="s">
        <v>215</v>
      </c>
      <c r="W29" s="32" t="s">
        <v>232</v>
      </c>
      <c r="X29" s="32" t="s">
        <v>233</v>
      </c>
      <c r="Y29" s="32" t="s">
        <v>234</v>
      </c>
      <c r="Z29" s="33" t="s">
        <v>235</v>
      </c>
    </row>
    <row r="30" spans="1:26" ht="20" customHeight="1" x14ac:dyDescent="0.2">
      <c r="A30" s="34">
        <v>1</v>
      </c>
      <c r="B30" s="35" t="str">
        <f>IFERROR(INDEX(_CALC!$B$2:$B$49,MATCH(1,INDEX((_CALC!$A$2:$A$49="J")*(_CALC!$H$2:$H$49=1),0),0)),"")</f>
        <v>🇦🇷 Argentina</v>
      </c>
      <c r="C30" s="36">
        <f>IF($B30="","",SUMPRODUCT(('1_GRUPOS'!$B$6:$B$200="J")*('1_GRUPOS'!$D$6:$D$200&lt;&gt;"")*('1_GRUPOS'!$E$6:$E$200&lt;&gt;"")*(('1_GRUPOS'!$C$6:$C$200=$B30)+('1_GRUPOS'!$F$6:$F$200=$B30))))</f>
        <v>0</v>
      </c>
      <c r="D30" s="36">
        <f>IF($B30="","",INDEX(_CALC!$E$2:$E$49,MATCH(1,INDEX((_CALC!$A$2:$A$49="J")*(_CALC!$H$2:$H$49=1),0),0)))</f>
        <v>0</v>
      </c>
      <c r="E30" s="36">
        <f>IF($B30="","",INDEX(_CALC!$F$2:$F$49,MATCH(1,INDEX((_CALC!$A$2:$A$49="J")*(_CALC!$H$2:$H$49=1),0),0)))</f>
        <v>0</v>
      </c>
      <c r="F30" s="36">
        <f>IF($B30="","",INDEX(_CALC!$G$2:$G$49,MATCH(1,INDEX((_CALC!$A$2:$A$49="J")*(_CALC!$H$2:$H$49=1),0),0)))</f>
        <v>0</v>
      </c>
      <c r="G30" s="36">
        <f>IF($B30="","",INDEX(_CALC!$D$2:$D$49,MATCH(1,INDEX((_CALC!$A$2:$A$49="J")*(_CALC!$H$2:$H$49=1),0),0)))</f>
        <v>0</v>
      </c>
      <c r="H30" s="37" t="str">
        <f>IF(A30&lt;=2,"CLASIFICA","FUERA")</f>
        <v>CLASIFICA</v>
      </c>
      <c r="J30" s="34">
        <v>1</v>
      </c>
      <c r="K30" s="35" t="str">
        <f>IFERROR(INDEX(_CALC!$B$2:$B$49,MATCH(1,INDEX((_CALC!$A$2:$A$49="K")*(_CALC!$H$2:$H$49=1),0),0)),"")</f>
        <v>🇨🇴 Colombia</v>
      </c>
      <c r="L30" s="36">
        <f>IF($K30="","",SUMPRODUCT(('1_GRUPOS'!$B$6:$B$200="K")*('1_GRUPOS'!$D$6:$D$200&lt;&gt;"")*('1_GRUPOS'!$E$6:$E$200&lt;&gt;"")*(('1_GRUPOS'!$C$6:$C$200=$K30)+('1_GRUPOS'!$F$6:$F$200=$K30))))</f>
        <v>0</v>
      </c>
      <c r="M30" s="36">
        <f>IF($K30="","",INDEX(_CALC!$E$2:$E$49,MATCH(1,INDEX((_CALC!$A$2:$A$49="K")*(_CALC!$H$2:$H$49=1),0),0)))</f>
        <v>0</v>
      </c>
      <c r="N30" s="36">
        <f>IF($K30="","",INDEX(_CALC!$F$2:$F$49,MATCH(1,INDEX((_CALC!$A$2:$A$49="K")*(_CALC!$H$2:$H$49=1),0),0)))</f>
        <v>0</v>
      </c>
      <c r="O30" s="36">
        <f>IF($K30="","",INDEX(_CALC!$G$2:$G$49,MATCH(1,INDEX((_CALC!$A$2:$A$49="K")*(_CALC!$H$2:$H$49=1),0),0)))</f>
        <v>0</v>
      </c>
      <c r="P30" s="36">
        <f>IF($K30="","",INDEX(_CALC!$D$2:$D$49,MATCH(1,INDEX((_CALC!$A$2:$A$49="K")*(_CALC!$H$2:$H$49=1),0),0)))</f>
        <v>0</v>
      </c>
      <c r="Q30" s="37" t="str">
        <f>IF(A30&lt;=2,"CLASIFICA","FUERA")</f>
        <v>CLASIFICA</v>
      </c>
      <c r="S30" s="34">
        <v>1</v>
      </c>
      <c r="T30" s="35" t="str">
        <f>IFERROR(INDEX(_CALC!$B$2:$B$49,MATCH(1,INDEX((_CALC!$A$2:$A$49="L")*(_CALC!$H$2:$H$49=1),0),0)),"")</f>
        <v>🇬🇭 Ghana</v>
      </c>
      <c r="U30" s="36">
        <f>IF($T30="","",SUMPRODUCT(('1_GRUPOS'!$B$6:$B$200="L")*('1_GRUPOS'!$D$6:$D$200&lt;&gt;"")*('1_GRUPOS'!$E$6:$E$200&lt;&gt;"")*(('1_GRUPOS'!$C$6:$C$200=$T30)+('1_GRUPOS'!$F$6:$F$200=$T30))))</f>
        <v>0</v>
      </c>
      <c r="V30" s="36">
        <f>IF($T30="","",INDEX(_CALC!$E$2:$E$49,MATCH(1,INDEX((_CALC!$A$2:$A$49="L")*(_CALC!$H$2:$H$49=1),0),0)))</f>
        <v>0</v>
      </c>
      <c r="W30" s="36">
        <f>IF($T30="","",INDEX(_CALC!$F$2:$F$49,MATCH(1,INDEX((_CALC!$A$2:$A$49="L")*(_CALC!$H$2:$H$49=1),0),0)))</f>
        <v>0</v>
      </c>
      <c r="X30" s="36">
        <f>IF($T30="","",INDEX(_CALC!$G$2:$G$49,MATCH(1,INDEX((_CALC!$A$2:$A$49="L")*(_CALC!$H$2:$H$49=1),0),0)))</f>
        <v>0</v>
      </c>
      <c r="Y30" s="36">
        <f>IF($T30="","",INDEX(_CALC!$D$2:$D$49,MATCH(1,INDEX((_CALC!$A$2:$A$49="L")*(_CALC!$H$2:$H$49=1),0),0)))</f>
        <v>0</v>
      </c>
      <c r="Z30" s="37" t="str">
        <f>IF(A30&lt;=2,"CLASIFICA","FUERA")</f>
        <v>CLASIFICA</v>
      </c>
    </row>
    <row r="31" spans="1:26" ht="20" customHeight="1" x14ac:dyDescent="0.2">
      <c r="A31" s="34">
        <v>2</v>
      </c>
      <c r="B31" s="35" t="str">
        <f>IFERROR(INDEX(_CALC!$B$2:$B$49,MATCH(1,INDEX((_CALC!$A$2:$A$49="J")*(_CALC!$H$2:$H$49=2),0),0)),"")</f>
        <v>🇦🇹 Austria</v>
      </c>
      <c r="C31" s="36">
        <f>IF($B31="","",SUMPRODUCT(('1_GRUPOS'!$B$6:$B$200="J")*('1_GRUPOS'!$D$6:$D$200&lt;&gt;"")*('1_GRUPOS'!$E$6:$E$200&lt;&gt;"")*(('1_GRUPOS'!$C$6:$C$200=$B31)+('1_GRUPOS'!$F$6:$F$200=$B31))))</f>
        <v>0</v>
      </c>
      <c r="D31" s="36">
        <f>IF($B31="","",INDEX(_CALC!$E$2:$E$49,MATCH(1,INDEX((_CALC!$A$2:$A$49="J")*(_CALC!$H$2:$H$49=2),0),0)))</f>
        <v>0</v>
      </c>
      <c r="E31" s="36">
        <f>IF($B31="","",INDEX(_CALC!$F$2:$F$49,MATCH(1,INDEX((_CALC!$A$2:$A$49="J")*(_CALC!$H$2:$H$49=2),0),0)))</f>
        <v>0</v>
      </c>
      <c r="F31" s="36">
        <f>IF($B31="","",INDEX(_CALC!$G$2:$G$49,MATCH(1,INDEX((_CALC!$A$2:$A$49="J")*(_CALC!$H$2:$H$49=2),0),0)))</f>
        <v>0</v>
      </c>
      <c r="G31" s="36">
        <f>IF($B31="","",INDEX(_CALC!$D$2:$D$49,MATCH(1,INDEX((_CALC!$A$2:$A$49="J")*(_CALC!$H$2:$H$49=2),0),0)))</f>
        <v>0</v>
      </c>
      <c r="H31" s="37" t="str">
        <f>IF(A31&lt;=2,"CLASIFICA","FUERA")</f>
        <v>CLASIFICA</v>
      </c>
      <c r="J31" s="34">
        <v>2</v>
      </c>
      <c r="K31" s="35" t="str">
        <f>IFERROR(INDEX(_CALC!$B$2:$B$49,MATCH(1,INDEX((_CALC!$A$2:$A$49="K")*(_CALC!$H$2:$H$49=2),0),0)),"")</f>
        <v>🇵🇹 Portugal</v>
      </c>
      <c r="L31" s="36">
        <f>IF($K31="","",SUMPRODUCT(('1_GRUPOS'!$B$6:$B$200="K")*('1_GRUPOS'!$D$6:$D$200&lt;&gt;"")*('1_GRUPOS'!$E$6:$E$200&lt;&gt;"")*(('1_GRUPOS'!$C$6:$C$200=$K31)+('1_GRUPOS'!$F$6:$F$200=$K31))))</f>
        <v>0</v>
      </c>
      <c r="M31" s="36">
        <f>IF($K31="","",INDEX(_CALC!$E$2:$E$49,MATCH(1,INDEX((_CALC!$A$2:$A$49="K")*(_CALC!$H$2:$H$49=2),0),0)))</f>
        <v>0</v>
      </c>
      <c r="N31" s="36">
        <f>IF($K31="","",INDEX(_CALC!$F$2:$F$49,MATCH(1,INDEX((_CALC!$A$2:$A$49="K")*(_CALC!$H$2:$H$49=2),0),0)))</f>
        <v>0</v>
      </c>
      <c r="O31" s="36">
        <f>IF($K31="","",INDEX(_CALC!$G$2:$G$49,MATCH(1,INDEX((_CALC!$A$2:$A$49="K")*(_CALC!$H$2:$H$49=2),0),0)))</f>
        <v>0</v>
      </c>
      <c r="P31" s="36">
        <f>IF($K31="","",INDEX(_CALC!$D$2:$D$49,MATCH(1,INDEX((_CALC!$A$2:$A$49="K")*(_CALC!$H$2:$H$49=2),0),0)))</f>
        <v>0</v>
      </c>
      <c r="Q31" s="37" t="str">
        <f>IF(A31&lt;=2,"CLASIFICA","FUERA")</f>
        <v>CLASIFICA</v>
      </c>
      <c r="S31" s="34">
        <v>2</v>
      </c>
      <c r="T31" s="35" t="str">
        <f>IFERROR(INDEX(_CALC!$B$2:$B$49,MATCH(1,INDEX((_CALC!$A$2:$A$49="L")*(_CALC!$H$2:$H$49=2),0),0)),"")</f>
        <v>🇭🇷 Croacia</v>
      </c>
      <c r="U31" s="36">
        <f>IF($T31="","",SUMPRODUCT(('1_GRUPOS'!$B$6:$B$200="L")*('1_GRUPOS'!$D$6:$D$200&lt;&gt;"")*('1_GRUPOS'!$E$6:$E$200&lt;&gt;"")*(('1_GRUPOS'!$C$6:$C$200=$T31)+('1_GRUPOS'!$F$6:$F$200=$T31))))</f>
        <v>0</v>
      </c>
      <c r="V31" s="36">
        <f>IF($T31="","",INDEX(_CALC!$E$2:$E$49,MATCH(1,INDEX((_CALC!$A$2:$A$49="L")*(_CALC!$H$2:$H$49=2),0),0)))</f>
        <v>0</v>
      </c>
      <c r="W31" s="36">
        <f>IF($T31="","",INDEX(_CALC!$F$2:$F$49,MATCH(1,INDEX((_CALC!$A$2:$A$49="L")*(_CALC!$H$2:$H$49=2),0),0)))</f>
        <v>0</v>
      </c>
      <c r="X31" s="36">
        <f>IF($T31="","",INDEX(_CALC!$G$2:$G$49,MATCH(1,INDEX((_CALC!$A$2:$A$49="L")*(_CALC!$H$2:$H$49=2),0),0)))</f>
        <v>0</v>
      </c>
      <c r="Y31" s="36">
        <f>IF($T31="","",INDEX(_CALC!$D$2:$D$49,MATCH(1,INDEX((_CALC!$A$2:$A$49="L")*(_CALC!$H$2:$H$49=2),0),0)))</f>
        <v>0</v>
      </c>
      <c r="Z31" s="37" t="str">
        <f>IF(A31&lt;=2,"CLASIFICA","FUERA")</f>
        <v>CLASIFICA</v>
      </c>
    </row>
    <row r="32" spans="1:26" ht="20" customHeight="1" x14ac:dyDescent="0.2">
      <c r="A32" s="38">
        <v>3</v>
      </c>
      <c r="B32" s="39" t="str">
        <f>IFERROR(INDEX(_CALC!$B$2:$B$49,MATCH(1,INDEX((_CALC!$A$2:$A$49="J")*(_CALC!$H$2:$H$49=3),0),0)),"")</f>
        <v>🇩🇿 Argelia</v>
      </c>
      <c r="C32" s="40">
        <f>IF($B32="","",SUMPRODUCT(('1_GRUPOS'!$B$6:$B$200="J")*('1_GRUPOS'!$D$6:$D$200&lt;&gt;"")*('1_GRUPOS'!$E$6:$E$200&lt;&gt;"")*(('1_GRUPOS'!$C$6:$C$200=$B32)+('1_GRUPOS'!$F$6:$F$200=$B32))))</f>
        <v>0</v>
      </c>
      <c r="D32" s="40">
        <f>IF($B32="","",INDEX(_CALC!$E$2:$E$49,MATCH(1,INDEX((_CALC!$A$2:$A$49="J")*(_CALC!$H$2:$H$49=3),0),0)))</f>
        <v>0</v>
      </c>
      <c r="E32" s="40">
        <f>IF($B32="","",INDEX(_CALC!$F$2:$F$49,MATCH(1,INDEX((_CALC!$A$2:$A$49="J")*(_CALC!$H$2:$H$49=3),0),0)))</f>
        <v>0</v>
      </c>
      <c r="F32" s="40">
        <f>IF($B32="","",INDEX(_CALC!$G$2:$G$49,MATCH(1,INDEX((_CALC!$A$2:$A$49="J")*(_CALC!$H$2:$H$49=3),0),0)))</f>
        <v>0</v>
      </c>
      <c r="G32" s="40">
        <f>IF($B32="","",INDEX(_CALC!$D$2:$D$49,MATCH(1,INDEX((_CALC!$A$2:$A$49="J")*(_CALC!$H$2:$H$49=3),0),0)))</f>
        <v>0</v>
      </c>
      <c r="H32" s="41" t="str">
        <f>IF(A32&lt;=2,"CLASIFICA","FUERA")</f>
        <v>FUERA</v>
      </c>
      <c r="J32" s="38">
        <v>3</v>
      </c>
      <c r="K32" s="39" t="str">
        <f>IFERROR(INDEX(_CALC!$B$2:$B$49,MATCH(1,INDEX((_CALC!$A$2:$A$49="K")*(_CALC!$H$2:$H$49=3),0),0)),"")</f>
        <v>🇺🇿 Uzbekistán</v>
      </c>
      <c r="L32" s="40">
        <f>IF($K32="","",SUMPRODUCT(('1_GRUPOS'!$B$6:$B$200="K")*('1_GRUPOS'!$D$6:$D$200&lt;&gt;"")*('1_GRUPOS'!$E$6:$E$200&lt;&gt;"")*(('1_GRUPOS'!$C$6:$C$200=$K32)+('1_GRUPOS'!$F$6:$F$200=$K32))))</f>
        <v>0</v>
      </c>
      <c r="M32" s="40">
        <f>IF($K32="","",INDEX(_CALC!$E$2:$E$49,MATCH(1,INDEX((_CALC!$A$2:$A$49="K")*(_CALC!$H$2:$H$49=3),0),0)))</f>
        <v>0</v>
      </c>
      <c r="N32" s="40">
        <f>IF($K32="","",INDEX(_CALC!$F$2:$F$49,MATCH(1,INDEX((_CALC!$A$2:$A$49="K")*(_CALC!$H$2:$H$49=3),0),0)))</f>
        <v>0</v>
      </c>
      <c r="O32" s="40">
        <f>IF($K32="","",INDEX(_CALC!$G$2:$G$49,MATCH(1,INDEX((_CALC!$A$2:$A$49="K")*(_CALC!$H$2:$H$49=3),0),0)))</f>
        <v>0</v>
      </c>
      <c r="P32" s="40">
        <f>IF($K32="","",INDEX(_CALC!$D$2:$D$49,MATCH(1,INDEX((_CALC!$A$2:$A$49="K")*(_CALC!$H$2:$H$49=3),0),0)))</f>
        <v>0</v>
      </c>
      <c r="Q32" s="41" t="str">
        <f>IF(A32&lt;=2,"CLASIFICA","FUERA")</f>
        <v>FUERA</v>
      </c>
      <c r="S32" s="38">
        <v>3</v>
      </c>
      <c r="T32" s="39" t="str">
        <f>IFERROR(INDEX(_CALC!$B$2:$B$49,MATCH(1,INDEX((_CALC!$A$2:$A$49="L")*(_CALC!$H$2:$H$49=3),0),0)),"")</f>
        <v>🇵🇦 Panamá</v>
      </c>
      <c r="U32" s="40">
        <f>IF($T32="","",SUMPRODUCT(('1_GRUPOS'!$B$6:$B$200="L")*('1_GRUPOS'!$D$6:$D$200&lt;&gt;"")*('1_GRUPOS'!$E$6:$E$200&lt;&gt;"")*(('1_GRUPOS'!$C$6:$C$200=$T32)+('1_GRUPOS'!$F$6:$F$200=$T32))))</f>
        <v>0</v>
      </c>
      <c r="V32" s="40">
        <f>IF($T32="","",INDEX(_CALC!$E$2:$E$49,MATCH(1,INDEX((_CALC!$A$2:$A$49="L")*(_CALC!$H$2:$H$49=3),0),0)))</f>
        <v>0</v>
      </c>
      <c r="W32" s="40">
        <f>IF($T32="","",INDEX(_CALC!$F$2:$F$49,MATCH(1,INDEX((_CALC!$A$2:$A$49="L")*(_CALC!$H$2:$H$49=3),0),0)))</f>
        <v>0</v>
      </c>
      <c r="X32" s="40">
        <f>IF($T32="","",INDEX(_CALC!$G$2:$G$49,MATCH(1,INDEX((_CALC!$A$2:$A$49="L")*(_CALC!$H$2:$H$49=3),0),0)))</f>
        <v>0</v>
      </c>
      <c r="Y32" s="40">
        <f>IF($T32="","",INDEX(_CALC!$D$2:$D$49,MATCH(1,INDEX((_CALC!$A$2:$A$49="L")*(_CALC!$H$2:$H$49=3),0),0)))</f>
        <v>0</v>
      </c>
      <c r="Z32" s="41" t="str">
        <f>IF(A32&lt;=2,"CLASIFICA","FUERA")</f>
        <v>FUERA</v>
      </c>
    </row>
    <row r="33" spans="1:26" ht="20" customHeight="1" x14ac:dyDescent="0.2">
      <c r="A33" s="42">
        <v>4</v>
      </c>
      <c r="B33" s="43" t="str">
        <f>IFERROR(INDEX(_CALC!$B$2:$B$49,MATCH(1,INDEX((_CALC!$A$2:$A$49="J")*(_CALC!$H$2:$H$49=4),0),0)),"")</f>
        <v>🇯🇴 Jordania</v>
      </c>
      <c r="C33" s="44">
        <f>IF($B33="","",SUMPRODUCT(('1_GRUPOS'!$B$6:$B$200="J")*('1_GRUPOS'!$D$6:$D$200&lt;&gt;"")*('1_GRUPOS'!$E$6:$E$200&lt;&gt;"")*(('1_GRUPOS'!$C$6:$C$200=$B33)+('1_GRUPOS'!$F$6:$F$200=$B33))))</f>
        <v>0</v>
      </c>
      <c r="D33" s="44">
        <f>IF($B33="","",INDEX(_CALC!$E$2:$E$49,MATCH(1,INDEX((_CALC!$A$2:$A$49="J")*(_CALC!$H$2:$H$49=4),0),0)))</f>
        <v>0</v>
      </c>
      <c r="E33" s="44">
        <f>IF($B33="","",INDEX(_CALC!$F$2:$F$49,MATCH(1,INDEX((_CALC!$A$2:$A$49="J")*(_CALC!$H$2:$H$49=4),0),0)))</f>
        <v>0</v>
      </c>
      <c r="F33" s="44">
        <f>IF($B33="","",INDEX(_CALC!$G$2:$G$49,MATCH(1,INDEX((_CALC!$A$2:$A$49="J")*(_CALC!$H$2:$H$49=4),0),0)))</f>
        <v>0</v>
      </c>
      <c r="G33" s="44">
        <f>IF($B33="","",INDEX(_CALC!$D$2:$D$49,MATCH(1,INDEX((_CALC!$A$2:$A$49="J")*(_CALC!$H$2:$H$49=4),0),0)))</f>
        <v>0</v>
      </c>
      <c r="H33" s="45" t="str">
        <f>IF(A33&lt;=2,"CLASIFICA","FUERA")</f>
        <v>FUERA</v>
      </c>
      <c r="J33" s="42">
        <v>4</v>
      </c>
      <c r="K33" s="43" t="str">
        <f>IFERROR(INDEX(_CALC!$B$2:$B$49,MATCH(1,INDEX((_CALC!$A$2:$A$49="K")*(_CALC!$H$2:$H$49=4),0),0)),"")</f>
        <v>🏳️ Jamaica/RD Congo*</v>
      </c>
      <c r="L33" s="44">
        <f>IF($K33="","",SUMPRODUCT(('1_GRUPOS'!$B$6:$B$200="K")*('1_GRUPOS'!$D$6:$D$200&lt;&gt;"")*('1_GRUPOS'!$E$6:$E$200&lt;&gt;"")*(('1_GRUPOS'!$C$6:$C$200=$K33)+('1_GRUPOS'!$F$6:$F$200=$K33))))</f>
        <v>0</v>
      </c>
      <c r="M33" s="44">
        <f>IF($K33="","",INDEX(_CALC!$E$2:$E$49,MATCH(1,INDEX((_CALC!$A$2:$A$49="K")*(_CALC!$H$2:$H$49=4),0),0)))</f>
        <v>0</v>
      </c>
      <c r="N33" s="44">
        <f>IF($K33="","",INDEX(_CALC!$F$2:$F$49,MATCH(1,INDEX((_CALC!$A$2:$A$49="K")*(_CALC!$H$2:$H$49=4),0),0)))</f>
        <v>0</v>
      </c>
      <c r="O33" s="44">
        <f>IF($K33="","",INDEX(_CALC!$G$2:$G$49,MATCH(1,INDEX((_CALC!$A$2:$A$49="K")*(_CALC!$H$2:$H$49=4),0),0)))</f>
        <v>0</v>
      </c>
      <c r="P33" s="44">
        <f>IF($K33="","",INDEX(_CALC!$D$2:$D$49,MATCH(1,INDEX((_CALC!$A$2:$A$49="K")*(_CALC!$H$2:$H$49=4),0),0)))</f>
        <v>0</v>
      </c>
      <c r="Q33" s="45" t="str">
        <f>IF(A33&lt;=2,"CLASIFICA","FUERA")</f>
        <v>FUERA</v>
      </c>
      <c r="S33" s="42">
        <v>4</v>
      </c>
      <c r="T33" s="43" t="str">
        <f>IFERROR(INDEX(_CALC!$B$2:$B$49,MATCH(1,INDEX((_CALC!$A$2:$A$49="L")*(_CALC!$H$2:$H$49=4),0),0)),"")</f>
        <v>🏴 Inglaterra</v>
      </c>
      <c r="U33" s="44">
        <f>IF($T33="","",SUMPRODUCT(('1_GRUPOS'!$B$6:$B$200="L")*('1_GRUPOS'!$D$6:$D$200&lt;&gt;"")*('1_GRUPOS'!$E$6:$E$200&lt;&gt;"")*(('1_GRUPOS'!$C$6:$C$200=$T33)+('1_GRUPOS'!$F$6:$F$200=$T33))))</f>
        <v>0</v>
      </c>
      <c r="V33" s="44">
        <f>IF($T33="","",INDEX(_CALC!$E$2:$E$49,MATCH(1,INDEX((_CALC!$A$2:$A$49="L")*(_CALC!$H$2:$H$49=4),0),0)))</f>
        <v>0</v>
      </c>
      <c r="W33" s="44">
        <f>IF($T33="","",INDEX(_CALC!$F$2:$F$49,MATCH(1,INDEX((_CALC!$A$2:$A$49="L")*(_CALC!$H$2:$H$49=4),0),0)))</f>
        <v>0</v>
      </c>
      <c r="X33" s="44">
        <f>IF($T33="","",INDEX(_CALC!$G$2:$G$49,MATCH(1,INDEX((_CALC!$A$2:$A$49="L")*(_CALC!$H$2:$H$49=4),0),0)))</f>
        <v>0</v>
      </c>
      <c r="Y33" s="44">
        <f>IF($T33="","",INDEX(_CALC!$D$2:$D$49,MATCH(1,INDEX((_CALC!$A$2:$A$49="L")*(_CALC!$H$2:$H$49=4),0),0)))</f>
        <v>0</v>
      </c>
      <c r="Z33" s="45" t="str">
        <f>IF(A33&lt;=2,"CLASIFICA","FUERA")</f>
        <v>FUERA</v>
      </c>
    </row>
  </sheetData>
  <sheetProtection password="CE4B" sheet="1"/>
  <mergeCells count="14">
    <mergeCell ref="A1:Z1"/>
    <mergeCell ref="A20:H20"/>
    <mergeCell ref="S20:Z20"/>
    <mergeCell ref="S12:Z12"/>
    <mergeCell ref="A28:H28"/>
    <mergeCell ref="A2:Z2"/>
    <mergeCell ref="J28:Q28"/>
    <mergeCell ref="S4:Z4"/>
    <mergeCell ref="S28:Z28"/>
    <mergeCell ref="A12:H12"/>
    <mergeCell ref="A4:H4"/>
    <mergeCell ref="J4:Q4"/>
    <mergeCell ref="J20:Q20"/>
    <mergeCell ref="J12:Q12"/>
  </mergeCells>
  <pageMargins left="0.25" right="0.25" top="0.4" bottom="0.4" header="0.5" footer="0.5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L199"/>
  <sheetViews>
    <sheetView showGridLines="0" zoomScale="92" zoomScaleNormal="92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4" sqref="D4:E19"/>
    </sheetView>
  </sheetViews>
  <sheetFormatPr baseColWidth="10" defaultColWidth="8.6640625" defaultRowHeight="15" customHeight="1" x14ac:dyDescent="0.2"/>
  <cols>
    <col min="1" max="1" width="12" customWidth="1"/>
    <col min="2" max="2" width="24" customWidth="1"/>
    <col min="3" max="3" width="28" customWidth="1"/>
    <col min="4" max="5" width="13" customWidth="1"/>
    <col min="6" max="6" width="28" customWidth="1"/>
    <col min="7" max="7" width="12" customWidth="1"/>
    <col min="8" max="8" width="10" customWidth="1"/>
    <col min="9" max="10" width="20" customWidth="1"/>
    <col min="11" max="11" width="28" customWidth="1"/>
    <col min="12" max="12" width="12" customWidth="1"/>
  </cols>
  <sheetData>
    <row r="1" spans="1:12" ht="17.25" customHeight="1" x14ac:dyDescent="0.2">
      <c r="A1" s="62" t="s">
        <v>245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4"/>
    </row>
    <row r="2" spans="1:12" ht="15" customHeight="1" x14ac:dyDescent="0.2">
      <c r="A2" s="68" t="s">
        <v>246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4"/>
    </row>
    <row r="3" spans="1:12" ht="15" customHeight="1" x14ac:dyDescent="0.2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G3" s="2" t="s">
        <v>8</v>
      </c>
      <c r="H3" s="2" t="s">
        <v>9</v>
      </c>
      <c r="I3" s="2" t="s">
        <v>10</v>
      </c>
      <c r="J3" s="2" t="s">
        <v>11</v>
      </c>
      <c r="K3" s="2" t="s">
        <v>12</v>
      </c>
      <c r="L3" s="2" t="s">
        <v>13</v>
      </c>
    </row>
    <row r="4" spans="1:12" ht="24.75" customHeight="1" x14ac:dyDescent="0.2">
      <c r="A4" s="7" t="s">
        <v>247</v>
      </c>
      <c r="B4" s="53" t="s">
        <v>248</v>
      </c>
      <c r="C4" s="19" t="str">
        <f>IFERROR(INDEX(_CALC!$M$2:$M$13,MATCH("A",_CALC!$K$2:$K$13,0)),"?")</f>
        <v>🇲🇽 México</v>
      </c>
      <c r="D4" s="52"/>
      <c r="E4" s="52"/>
      <c r="F4" s="19" t="str">
        <f>IFERROR(INDEX(_CALC!$M$2:$M$13,MATCH("B",_CALC!$K$2:$K$13,0)),"?")</f>
        <v>🇨🇭 Suiza</v>
      </c>
      <c r="G4" s="54">
        <v>46201</v>
      </c>
      <c r="H4" s="9" t="s">
        <v>60</v>
      </c>
      <c r="I4" s="20" t="s">
        <v>72</v>
      </c>
      <c r="J4" s="20" t="s">
        <v>73</v>
      </c>
      <c r="K4" s="21" t="str">
        <f t="shared" ref="K4:K19" si="0">IF(OR(D4="",E4=""),"",IF(D4&gt;E4,C4,IF(E4&gt;D4,F4,"Empate no válido")))</f>
        <v/>
      </c>
      <c r="L4" s="9" t="s">
        <v>249</v>
      </c>
    </row>
    <row r="5" spans="1:12" ht="24.75" customHeight="1" x14ac:dyDescent="0.2">
      <c r="A5" s="7" t="s">
        <v>250</v>
      </c>
      <c r="B5" s="53" t="s">
        <v>251</v>
      </c>
      <c r="C5" s="19" t="str">
        <f>IFERROR(INDEX(_CALC!$L$2:$L$13,MATCH("E",_CALC!$K$2:$K$13,0)),"?")</f>
        <v>🇨🇮 Costa de Marfil</v>
      </c>
      <c r="D5" s="52"/>
      <c r="E5" s="52"/>
      <c r="F5" s="19" t="s">
        <v>65</v>
      </c>
      <c r="G5" s="54">
        <v>46202</v>
      </c>
      <c r="H5" s="9" t="s">
        <v>252</v>
      </c>
      <c r="I5" s="20" t="s">
        <v>253</v>
      </c>
      <c r="J5" s="20" t="s">
        <v>254</v>
      </c>
      <c r="K5" s="21" t="str">
        <f t="shared" si="0"/>
        <v/>
      </c>
      <c r="L5" s="9" t="s">
        <v>249</v>
      </c>
    </row>
    <row r="6" spans="1:12" ht="24.75" customHeight="1" x14ac:dyDescent="0.2">
      <c r="A6" s="7" t="s">
        <v>255</v>
      </c>
      <c r="B6" s="53" t="s">
        <v>256</v>
      </c>
      <c r="C6" s="19" t="str">
        <f>IFERROR(INDEX(_CALC!$L$2:$L$13,MATCH("F",_CALC!$K$2:$K$13,0)),"?")</f>
        <v>🇯🇵 Japón</v>
      </c>
      <c r="D6" s="52"/>
      <c r="E6" s="52"/>
      <c r="F6" s="19" t="str">
        <f>IFERROR(INDEX(_CALC!$M$2:$M$13,MATCH("C",_CALC!$K$2:$K$13,0)),"?")</f>
        <v>🇭🇹 Haití</v>
      </c>
      <c r="G6" s="54">
        <v>46202</v>
      </c>
      <c r="H6" s="9" t="s">
        <v>71</v>
      </c>
      <c r="I6" s="20" t="s">
        <v>85</v>
      </c>
      <c r="J6" s="20" t="s">
        <v>86</v>
      </c>
      <c r="K6" s="21" t="str">
        <f t="shared" si="0"/>
        <v/>
      </c>
      <c r="L6" s="9" t="s">
        <v>249</v>
      </c>
    </row>
    <row r="7" spans="1:12" ht="24.75" customHeight="1" x14ac:dyDescent="0.2">
      <c r="A7" s="7" t="s">
        <v>257</v>
      </c>
      <c r="B7" s="53" t="s">
        <v>258</v>
      </c>
      <c r="C7" s="19" t="str">
        <f>IFERROR(INDEX(_CALC!$L$2:$L$13,MATCH("C",_CALC!$K$2:$K$13,0)),"?")</f>
        <v>🇧🇷 Brasil</v>
      </c>
      <c r="D7" s="52"/>
      <c r="E7" s="52"/>
      <c r="F7" s="19" t="str">
        <f>IFERROR(INDEX(_CALC!$M$2:$M$13,MATCH("F",_CALC!$K$2:$K$13,0)),"?")</f>
        <v>🇳🇱 Países Bajos</v>
      </c>
      <c r="G7" s="54">
        <v>46202</v>
      </c>
      <c r="H7" s="9" t="s">
        <v>76</v>
      </c>
      <c r="I7" s="20" t="s">
        <v>259</v>
      </c>
      <c r="J7" s="20" t="s">
        <v>260</v>
      </c>
      <c r="K7" s="21" t="str">
        <f t="shared" si="0"/>
        <v/>
      </c>
      <c r="L7" s="9" t="s">
        <v>249</v>
      </c>
    </row>
    <row r="8" spans="1:12" ht="24.75" customHeight="1" x14ac:dyDescent="0.2">
      <c r="A8" s="7" t="s">
        <v>261</v>
      </c>
      <c r="B8" s="53" t="s">
        <v>262</v>
      </c>
      <c r="C8" s="19" t="str">
        <f>IFERROR(INDEX(_CALC!$L$2:$L$13,MATCH("I",_CALC!$K$2:$K$13,0)),"?")</f>
        <v>🇫🇷 Francia</v>
      </c>
      <c r="D8" s="52"/>
      <c r="E8" s="52"/>
      <c r="F8" s="19" t="s">
        <v>113</v>
      </c>
      <c r="G8" s="54">
        <v>46203</v>
      </c>
      <c r="H8" s="9" t="s">
        <v>60</v>
      </c>
      <c r="I8" s="20" t="s">
        <v>23</v>
      </c>
      <c r="J8" s="20" t="s">
        <v>263</v>
      </c>
      <c r="K8" s="21" t="str">
        <f t="shared" si="0"/>
        <v/>
      </c>
      <c r="L8" s="9" t="s">
        <v>249</v>
      </c>
    </row>
    <row r="9" spans="1:12" ht="24.75" customHeight="1" x14ac:dyDescent="0.2">
      <c r="A9" s="7" t="s">
        <v>264</v>
      </c>
      <c r="B9" s="53" t="s">
        <v>265</v>
      </c>
      <c r="C9" s="19" t="str">
        <f>IFERROR(INDEX(_CALC!$M$2:$M$13,MATCH("E",_CALC!$K$2:$K$13,0)),"?")</f>
        <v>🇨🇼 Curazao</v>
      </c>
      <c r="D9" s="52"/>
      <c r="E9" s="52"/>
      <c r="F9" s="19" t="str">
        <f>IFERROR(INDEX(_CALC!$M$2:$M$13,MATCH("I",_CALC!$K$2:$K$13,0)),"?")</f>
        <v>🇳🇴 Noruega</v>
      </c>
      <c r="G9" s="54">
        <v>46203</v>
      </c>
      <c r="H9" s="9" t="s">
        <v>60</v>
      </c>
      <c r="I9" s="20" t="s">
        <v>81</v>
      </c>
      <c r="J9" s="20" t="s">
        <v>82</v>
      </c>
      <c r="K9" s="21" t="str">
        <f t="shared" si="0"/>
        <v/>
      </c>
      <c r="L9" s="9" t="s">
        <v>249</v>
      </c>
    </row>
    <row r="10" spans="1:12" ht="24.75" customHeight="1" x14ac:dyDescent="0.2">
      <c r="A10" s="7" t="s">
        <v>266</v>
      </c>
      <c r="B10" s="53" t="s">
        <v>267</v>
      </c>
      <c r="C10" s="19" t="str">
        <f>IFERROR(INDEX(_CALC!$L$2:$L$13,MATCH("A",_CALC!$K$2:$K$13,0)),"?")</f>
        <v>🇰🇷 Corea del Sur</v>
      </c>
      <c r="D10" s="52"/>
      <c r="E10" s="52"/>
      <c r="F10" s="19" t="s">
        <v>136</v>
      </c>
      <c r="G10" s="54">
        <v>46203</v>
      </c>
      <c r="H10" s="9" t="s">
        <v>71</v>
      </c>
      <c r="I10" s="20" t="s">
        <v>61</v>
      </c>
      <c r="J10" s="20" t="s">
        <v>62</v>
      </c>
      <c r="K10" s="21" t="str">
        <f t="shared" si="0"/>
        <v/>
      </c>
      <c r="L10" s="9" t="s">
        <v>249</v>
      </c>
    </row>
    <row r="11" spans="1:12" ht="24.75" customHeight="1" x14ac:dyDescent="0.2">
      <c r="A11" s="7" t="s">
        <v>268</v>
      </c>
      <c r="B11" s="53" t="s">
        <v>269</v>
      </c>
      <c r="C11" s="19" t="str">
        <f>IFERROR(INDEX(_CALC!$L$2:$L$13,MATCH("L",_CALC!$K$2:$K$13,0)),"?")</f>
        <v>🇬🇭 Ghana</v>
      </c>
      <c r="D11" s="52"/>
      <c r="E11" s="52"/>
      <c r="F11" s="19" t="s">
        <v>127</v>
      </c>
      <c r="G11" s="54">
        <v>46203</v>
      </c>
      <c r="H11" s="9" t="s">
        <v>76</v>
      </c>
      <c r="I11" s="20" t="s">
        <v>270</v>
      </c>
      <c r="J11" s="20" t="s">
        <v>271</v>
      </c>
      <c r="K11" s="21" t="str">
        <f t="shared" si="0"/>
        <v/>
      </c>
      <c r="L11" s="9" t="s">
        <v>249</v>
      </c>
    </row>
    <row r="12" spans="1:12" ht="24.75" customHeight="1" x14ac:dyDescent="0.2">
      <c r="A12" s="7" t="s">
        <v>272</v>
      </c>
      <c r="B12" s="53" t="s">
        <v>273</v>
      </c>
      <c r="C12" s="19" t="str">
        <f>IFERROR(INDEX(_CALC!$L$2:$L$13,MATCH("D",_CALC!$K$2:$K$13,0)),"?")</f>
        <v>🇦🇺 Australia</v>
      </c>
      <c r="D12" s="52"/>
      <c r="E12" s="52"/>
      <c r="F12" s="19" t="s">
        <v>89</v>
      </c>
      <c r="G12" s="54">
        <v>46204</v>
      </c>
      <c r="H12" s="9" t="s">
        <v>60</v>
      </c>
      <c r="I12" s="20" t="s">
        <v>274</v>
      </c>
      <c r="J12" s="20" t="s">
        <v>275</v>
      </c>
      <c r="K12" s="21" t="str">
        <f t="shared" si="0"/>
        <v/>
      </c>
      <c r="L12" s="9" t="s">
        <v>249</v>
      </c>
    </row>
    <row r="13" spans="1:12" ht="24.75" customHeight="1" x14ac:dyDescent="0.2">
      <c r="A13" s="7" t="s">
        <v>276</v>
      </c>
      <c r="B13" s="53" t="s">
        <v>277</v>
      </c>
      <c r="C13" s="19" t="str">
        <f>IFERROR(INDEX(_CALC!$L$2:$L$13,MATCH("G",_CALC!$K$2:$K$13,0)),"?")</f>
        <v>🇧🇪 Bélgica</v>
      </c>
      <c r="D13" s="52"/>
      <c r="E13" s="52"/>
      <c r="F13" s="19" t="s">
        <v>158</v>
      </c>
      <c r="G13" s="54">
        <v>46204</v>
      </c>
      <c r="H13" s="9" t="s">
        <v>16</v>
      </c>
      <c r="I13" s="20" t="s">
        <v>278</v>
      </c>
      <c r="J13" s="20" t="s">
        <v>279</v>
      </c>
      <c r="K13" s="21" t="str">
        <f t="shared" si="0"/>
        <v/>
      </c>
      <c r="L13" s="9" t="s">
        <v>249</v>
      </c>
    </row>
    <row r="14" spans="1:12" ht="24.75" customHeight="1" x14ac:dyDescent="0.2">
      <c r="A14" s="7" t="s">
        <v>280</v>
      </c>
      <c r="B14" s="53" t="s">
        <v>281</v>
      </c>
      <c r="C14" s="19" t="str">
        <f>IFERROR(INDEX(_CALC!$M$2:$M$13,MATCH("K",_CALC!$K$2:$K$13,0)),"?")</f>
        <v>🇵🇹 Portugal</v>
      </c>
      <c r="D14" s="52"/>
      <c r="E14" s="52"/>
      <c r="F14" s="19" t="str">
        <f>IFERROR(INDEX(_CALC!$M$2:$M$13,MATCH("L",_CALC!$K$2:$K$13,0)),"?")</f>
        <v>🇭🇷 Croacia</v>
      </c>
      <c r="G14" s="54">
        <v>46205</v>
      </c>
      <c r="H14" s="9" t="s">
        <v>60</v>
      </c>
      <c r="I14" s="20" t="s">
        <v>93</v>
      </c>
      <c r="J14" s="20" t="s">
        <v>94</v>
      </c>
      <c r="K14" s="21" t="str">
        <f t="shared" si="0"/>
        <v/>
      </c>
      <c r="L14" s="9" t="s">
        <v>249</v>
      </c>
    </row>
    <row r="15" spans="1:12" ht="24.75" customHeight="1" x14ac:dyDescent="0.2">
      <c r="A15" s="7" t="s">
        <v>282</v>
      </c>
      <c r="B15" s="53" t="s">
        <v>283</v>
      </c>
      <c r="C15" s="19" t="str">
        <f>IFERROR(INDEX(_CALC!$L$2:$L$13,MATCH("H",_CALC!$K$2:$K$13,0)),"?")</f>
        <v>🇨🇻 Cabo Verde</v>
      </c>
      <c r="D15" s="52"/>
      <c r="E15" s="52"/>
      <c r="F15" s="19" t="str">
        <f>IFERROR(INDEX(_CALC!$M$2:$M$13,MATCH("J",_CALC!$K$2:$K$13,0)),"?")</f>
        <v>🇦🇹 Austria</v>
      </c>
      <c r="G15" s="54">
        <v>46205</v>
      </c>
      <c r="H15" s="9" t="s">
        <v>16</v>
      </c>
      <c r="I15" s="20" t="s">
        <v>72</v>
      </c>
      <c r="J15" s="20" t="s">
        <v>73</v>
      </c>
      <c r="K15" s="21" t="str">
        <f t="shared" si="0"/>
        <v/>
      </c>
      <c r="L15" s="9" t="s">
        <v>249</v>
      </c>
    </row>
    <row r="16" spans="1:12" ht="24.75" customHeight="1" x14ac:dyDescent="0.2">
      <c r="A16" s="7" t="s">
        <v>284</v>
      </c>
      <c r="B16" s="53" t="s">
        <v>285</v>
      </c>
      <c r="C16" s="19" t="str">
        <f>IFERROR(INDEX(_CALC!$L$2:$L$13,MATCH("B",_CALC!$K$2:$K$13,0)),"?")</f>
        <v>🇨🇦 Canadá</v>
      </c>
      <c r="D16" s="52"/>
      <c r="E16" s="52"/>
      <c r="F16" s="19" t="s">
        <v>147</v>
      </c>
      <c r="G16" s="54">
        <v>46205</v>
      </c>
      <c r="H16" s="9" t="s">
        <v>71</v>
      </c>
      <c r="I16" s="20" t="s">
        <v>66</v>
      </c>
      <c r="J16" s="20" t="s">
        <v>67</v>
      </c>
      <c r="K16" s="21" t="str">
        <f t="shared" si="0"/>
        <v/>
      </c>
      <c r="L16" s="9" t="s">
        <v>249</v>
      </c>
    </row>
    <row r="17" spans="1:12" ht="24.75" customHeight="1" x14ac:dyDescent="0.2">
      <c r="A17" s="7" t="s">
        <v>286</v>
      </c>
      <c r="B17" s="53" t="s">
        <v>287</v>
      </c>
      <c r="C17" s="19" t="str">
        <f>IFERROR(INDEX(_CALC!$L$2:$L$13,MATCH("J",_CALC!$K$2:$K$13,0)),"?")</f>
        <v>🇦🇷 Argentina</v>
      </c>
      <c r="D17" s="52"/>
      <c r="E17" s="52"/>
      <c r="F17" s="19" t="str">
        <f>IFERROR(INDEX(_CALC!$M$2:$M$13,MATCH("H",_CALC!$K$2:$K$13,0)),"?")</f>
        <v>🇪🇸 España</v>
      </c>
      <c r="G17" s="54">
        <v>46206</v>
      </c>
      <c r="H17" s="9" t="s">
        <v>60</v>
      </c>
      <c r="I17" s="20" t="s">
        <v>17</v>
      </c>
      <c r="J17" s="20" t="s">
        <v>18</v>
      </c>
      <c r="K17" s="21" t="str">
        <f t="shared" si="0"/>
        <v/>
      </c>
      <c r="L17" s="9" t="s">
        <v>249</v>
      </c>
    </row>
    <row r="18" spans="1:12" ht="24.75" customHeight="1" x14ac:dyDescent="0.2">
      <c r="A18" s="7" t="s">
        <v>288</v>
      </c>
      <c r="B18" s="53" t="s">
        <v>289</v>
      </c>
      <c r="C18" s="19" t="str">
        <f>IFERROR(INDEX(_CALC!$L$2:$L$13,MATCH("K",_CALC!$K$2:$K$13,0)),"?")</f>
        <v>🇨🇴 Colombia</v>
      </c>
      <c r="D18" s="52"/>
      <c r="E18" s="52"/>
      <c r="F18" s="19" t="s">
        <v>184</v>
      </c>
      <c r="G18" s="54">
        <v>46206</v>
      </c>
      <c r="H18" s="9" t="s">
        <v>16</v>
      </c>
      <c r="I18" s="20" t="s">
        <v>290</v>
      </c>
      <c r="J18" s="20" t="s">
        <v>291</v>
      </c>
      <c r="K18" s="21" t="str">
        <f t="shared" si="0"/>
        <v/>
      </c>
      <c r="L18" s="9" t="s">
        <v>249</v>
      </c>
    </row>
    <row r="19" spans="1:12" ht="24.75" customHeight="1" x14ac:dyDescent="0.2">
      <c r="A19" s="7" t="s">
        <v>292</v>
      </c>
      <c r="B19" s="53" t="s">
        <v>293</v>
      </c>
      <c r="C19" s="19" t="str">
        <f>IFERROR(INDEX(_CALC!$M$2:$M$13,MATCH("D",_CALC!$K$2:$K$13,0)),"?")</f>
        <v>🇵🇾 Paraguay</v>
      </c>
      <c r="D19" s="52"/>
      <c r="E19" s="52"/>
      <c r="F19" s="19" t="str">
        <f>IFERROR(INDEX(_CALC!$M$2:$M$13,MATCH("G",_CALC!$K$2:$K$13,0)),"?")</f>
        <v>🇪🇬 Egipto</v>
      </c>
      <c r="G19" s="54">
        <v>46206</v>
      </c>
      <c r="H19" s="9" t="s">
        <v>71</v>
      </c>
      <c r="I19" s="20" t="s">
        <v>81</v>
      </c>
      <c r="J19" s="20" t="s">
        <v>82</v>
      </c>
      <c r="K19" s="21" t="str">
        <f t="shared" si="0"/>
        <v/>
      </c>
      <c r="L19" s="9" t="s">
        <v>249</v>
      </c>
    </row>
    <row r="20" spans="1:12" x14ac:dyDescent="0.2"/>
    <row r="21" spans="1:12" x14ac:dyDescent="0.2"/>
    <row r="22" spans="1:12" x14ac:dyDescent="0.2"/>
    <row r="23" spans="1:12" x14ac:dyDescent="0.2"/>
    <row r="24" spans="1:12" x14ac:dyDescent="0.2"/>
    <row r="25" spans="1:12" x14ac:dyDescent="0.2"/>
    <row r="26" spans="1:12" x14ac:dyDescent="0.2"/>
    <row r="27" spans="1:12" x14ac:dyDescent="0.2"/>
    <row r="28" spans="1:12" x14ac:dyDescent="0.2"/>
    <row r="29" spans="1:12" x14ac:dyDescent="0.2"/>
    <row r="30" spans="1:12" x14ac:dyDescent="0.2"/>
    <row r="31" spans="1:12" x14ac:dyDescent="0.2"/>
    <row r="32" spans="1:12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  <row r="42" x14ac:dyDescent="0.2"/>
    <row r="43" x14ac:dyDescent="0.2"/>
    <row r="44" x14ac:dyDescent="0.2"/>
    <row r="45" x14ac:dyDescent="0.2"/>
    <row r="46" x14ac:dyDescent="0.2"/>
    <row r="47" x14ac:dyDescent="0.2"/>
    <row r="48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</sheetData>
  <sheetProtection password="CE4B" sheet="1"/>
  <mergeCells count="2">
    <mergeCell ref="A2:L2"/>
    <mergeCell ref="A1:L1"/>
  </mergeCells>
  <conditionalFormatting sqref="D4:K19">
    <cfRule type="expression" dxfId="7" priority="2">
      <formula>AND($D4=$E4,$D4&lt;&gt;"",$E4&lt;&gt;"")</formula>
    </cfRule>
    <cfRule type="expression" dxfId="6" priority="3">
      <formula>AND($D4&lt;&gt;"",$E4&lt;&gt;"",$D4&lt;&gt;$E4)</formula>
    </cfRule>
  </conditionalFormatting>
  <dataValidations count="1">
    <dataValidation type="whole" allowBlank="1" showInputMessage="1" showErrorMessage="1" errorTitle="Valor no válido" error="Solo se permiten enteros entre 0 y 9." promptTitle="Captura válida" prompt="Ingresa un marcador entero entre 0 y 9." sqref="D4:E19" xr:uid="{00000000-0002-0000-0400-000000000000}">
      <formula1>0</formula1>
      <formula2>9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L11"/>
  <sheetViews>
    <sheetView workbookViewId="0">
      <selection activeCell="D4" sqref="D4:E11"/>
    </sheetView>
  </sheetViews>
  <sheetFormatPr baseColWidth="10" defaultColWidth="8.83203125" defaultRowHeight="15" x14ac:dyDescent="0.2"/>
  <cols>
    <col min="1" max="1" width="12" customWidth="1"/>
    <col min="2" max="2" width="24" customWidth="1"/>
    <col min="3" max="3" width="28" customWidth="1"/>
    <col min="4" max="4" width="13" customWidth="1"/>
    <col min="5" max="5" width="14" customWidth="1"/>
    <col min="6" max="6" width="28" customWidth="1"/>
    <col min="7" max="7" width="12" customWidth="1"/>
    <col min="8" max="8" width="10" customWidth="1"/>
    <col min="9" max="9" width="20" customWidth="1"/>
    <col min="10" max="10" width="14" customWidth="1"/>
    <col min="11" max="11" width="28" customWidth="1"/>
    <col min="12" max="12" width="12" customWidth="1"/>
  </cols>
  <sheetData>
    <row r="1" spans="1:12" ht="19" x14ac:dyDescent="0.25">
      <c r="A1" s="76" t="s">
        <v>294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</row>
    <row r="2" spans="1:12" x14ac:dyDescent="0.2">
      <c r="A2" s="70" t="s">
        <v>295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</row>
    <row r="3" spans="1:12" x14ac:dyDescent="0.2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G3" s="2" t="s">
        <v>8</v>
      </c>
      <c r="H3" s="2" t="s">
        <v>9</v>
      </c>
      <c r="I3" s="2" t="s">
        <v>10</v>
      </c>
      <c r="J3" s="2" t="s">
        <v>11</v>
      </c>
      <c r="K3" s="2" t="s">
        <v>12</v>
      </c>
      <c r="L3" s="2" t="s">
        <v>13</v>
      </c>
    </row>
    <row r="4" spans="1:12" ht="16" x14ac:dyDescent="0.2">
      <c r="A4" s="7" t="s">
        <v>296</v>
      </c>
      <c r="B4" s="53" t="s">
        <v>297</v>
      </c>
      <c r="C4" s="19" t="str">
        <f>'2_16AVOS'!K5</f>
        <v/>
      </c>
      <c r="D4" s="52"/>
      <c r="E4" s="52"/>
      <c r="F4" s="19" t="str">
        <f>'2_16AVOS'!K8</f>
        <v/>
      </c>
      <c r="G4" s="54">
        <v>46207</v>
      </c>
      <c r="H4" s="9" t="s">
        <v>298</v>
      </c>
      <c r="I4" s="20" t="s">
        <v>299</v>
      </c>
      <c r="J4" s="20" t="s">
        <v>300</v>
      </c>
      <c r="K4" s="21" t="str">
        <f t="shared" ref="K4:K11" si="0">IF(OR(D4="",E4=""),"",IF(D4&gt;E4,C4,IF(E4&gt;D4,F4,"Empate no válido")))</f>
        <v/>
      </c>
      <c r="L4" s="9" t="s">
        <v>301</v>
      </c>
    </row>
    <row r="5" spans="1:12" ht="16" x14ac:dyDescent="0.2">
      <c r="A5" s="7" t="s">
        <v>302</v>
      </c>
      <c r="B5" s="53" t="s">
        <v>303</v>
      </c>
      <c r="C5" s="19" t="str">
        <f>'2_16AVOS'!K4</f>
        <v/>
      </c>
      <c r="D5" s="52"/>
      <c r="E5" s="52"/>
      <c r="F5" s="19" t="str">
        <f>'2_16AVOS'!K6</f>
        <v/>
      </c>
      <c r="G5" s="54">
        <v>46207</v>
      </c>
      <c r="H5" s="9" t="s">
        <v>16</v>
      </c>
      <c r="I5" s="20" t="s">
        <v>259</v>
      </c>
      <c r="J5" s="20" t="s">
        <v>260</v>
      </c>
      <c r="K5" s="21" t="str">
        <f t="shared" si="0"/>
        <v/>
      </c>
      <c r="L5" s="9" t="s">
        <v>301</v>
      </c>
    </row>
    <row r="6" spans="1:12" ht="16" x14ac:dyDescent="0.2">
      <c r="A6" s="7" t="s">
        <v>304</v>
      </c>
      <c r="B6" s="53" t="s">
        <v>305</v>
      </c>
      <c r="C6" s="19" t="str">
        <f>'2_16AVOS'!K7</f>
        <v/>
      </c>
      <c r="D6" s="52"/>
      <c r="E6" s="52"/>
      <c r="F6" s="19" t="str">
        <f>'2_16AVOS'!K9</f>
        <v/>
      </c>
      <c r="G6" s="54">
        <v>46208</v>
      </c>
      <c r="H6" s="9" t="s">
        <v>306</v>
      </c>
      <c r="I6" s="20" t="s">
        <v>23</v>
      </c>
      <c r="J6" s="20" t="s">
        <v>263</v>
      </c>
      <c r="K6" s="21" t="str">
        <f t="shared" si="0"/>
        <v/>
      </c>
      <c r="L6" s="9" t="s">
        <v>301</v>
      </c>
    </row>
    <row r="7" spans="1:12" ht="16" x14ac:dyDescent="0.2">
      <c r="A7" s="7" t="s">
        <v>307</v>
      </c>
      <c r="B7" s="53" t="s">
        <v>308</v>
      </c>
      <c r="C7" s="19" t="str">
        <f>'2_16AVOS'!K10</f>
        <v/>
      </c>
      <c r="D7" s="52"/>
      <c r="E7" s="52"/>
      <c r="F7" s="19" t="str">
        <f>'2_16AVOS'!K11</f>
        <v/>
      </c>
      <c r="G7" s="54">
        <v>46208</v>
      </c>
      <c r="H7" s="9" t="s">
        <v>71</v>
      </c>
      <c r="I7" s="20" t="s">
        <v>61</v>
      </c>
      <c r="J7" s="20" t="s">
        <v>62</v>
      </c>
      <c r="K7" s="21" t="str">
        <f t="shared" si="0"/>
        <v/>
      </c>
      <c r="L7" s="9" t="s">
        <v>301</v>
      </c>
    </row>
    <row r="8" spans="1:12" ht="16" x14ac:dyDescent="0.2">
      <c r="A8" s="7" t="s">
        <v>309</v>
      </c>
      <c r="B8" s="53" t="s">
        <v>310</v>
      </c>
      <c r="C8" s="19" t="str">
        <f>'2_16AVOS'!K14</f>
        <v/>
      </c>
      <c r="D8" s="52"/>
      <c r="E8" s="52"/>
      <c r="F8" s="19" t="str">
        <f>'2_16AVOS'!K15</f>
        <v/>
      </c>
      <c r="G8" s="54">
        <v>46209</v>
      </c>
      <c r="H8" s="9" t="s">
        <v>311</v>
      </c>
      <c r="I8" s="20" t="s">
        <v>81</v>
      </c>
      <c r="J8" s="20" t="s">
        <v>82</v>
      </c>
      <c r="K8" s="21" t="str">
        <f t="shared" si="0"/>
        <v/>
      </c>
      <c r="L8" s="9" t="s">
        <v>301</v>
      </c>
    </row>
    <row r="9" spans="1:12" ht="16" x14ac:dyDescent="0.2">
      <c r="A9" s="7" t="s">
        <v>312</v>
      </c>
      <c r="B9" s="53" t="s">
        <v>313</v>
      </c>
      <c r="C9" s="19" t="str">
        <f>'2_16AVOS'!K12</f>
        <v/>
      </c>
      <c r="D9" s="52"/>
      <c r="E9" s="52"/>
      <c r="F9" s="19" t="str">
        <f>'2_16AVOS'!K13</f>
        <v/>
      </c>
      <c r="G9" s="54">
        <v>46209</v>
      </c>
      <c r="H9" s="9" t="s">
        <v>71</v>
      </c>
      <c r="I9" s="20" t="s">
        <v>278</v>
      </c>
      <c r="J9" s="20" t="s">
        <v>279</v>
      </c>
      <c r="K9" s="21" t="str">
        <f t="shared" si="0"/>
        <v/>
      </c>
      <c r="L9" s="9" t="s">
        <v>301</v>
      </c>
    </row>
    <row r="10" spans="1:12" ht="16" x14ac:dyDescent="0.2">
      <c r="A10" s="7" t="s">
        <v>314</v>
      </c>
      <c r="B10" s="53" t="s">
        <v>315</v>
      </c>
      <c r="C10" s="19" t="str">
        <f>'2_16AVOS'!K17</f>
        <v/>
      </c>
      <c r="D10" s="52"/>
      <c r="E10" s="52"/>
      <c r="F10" s="19" t="str">
        <f>'2_16AVOS'!K19</f>
        <v/>
      </c>
      <c r="G10" s="54">
        <v>46210</v>
      </c>
      <c r="H10" s="9" t="s">
        <v>316</v>
      </c>
      <c r="I10" s="20" t="s">
        <v>317</v>
      </c>
      <c r="J10" s="20" t="s">
        <v>271</v>
      </c>
      <c r="K10" s="21" t="str">
        <f t="shared" si="0"/>
        <v/>
      </c>
      <c r="L10" s="9" t="s">
        <v>301</v>
      </c>
    </row>
    <row r="11" spans="1:12" ht="16" x14ac:dyDescent="0.2">
      <c r="A11" s="7" t="s">
        <v>318</v>
      </c>
      <c r="B11" s="53" t="s">
        <v>319</v>
      </c>
      <c r="C11" s="19" t="str">
        <f>'2_16AVOS'!K16</f>
        <v/>
      </c>
      <c r="D11" s="52"/>
      <c r="E11" s="52"/>
      <c r="F11" s="19" t="str">
        <f>'2_16AVOS'!K18</f>
        <v/>
      </c>
      <c r="G11" s="54">
        <v>46210</v>
      </c>
      <c r="H11" s="9" t="s">
        <v>306</v>
      </c>
      <c r="I11" s="20" t="s">
        <v>66</v>
      </c>
      <c r="J11" s="20" t="s">
        <v>67</v>
      </c>
      <c r="K11" s="21" t="str">
        <f t="shared" si="0"/>
        <v/>
      </c>
      <c r="L11" s="9" t="s">
        <v>301</v>
      </c>
    </row>
  </sheetData>
  <sheetProtection password="CE4B" sheet="1"/>
  <mergeCells count="2">
    <mergeCell ref="A2:L2"/>
    <mergeCell ref="A1:L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L199"/>
  <sheetViews>
    <sheetView showGridLines="0" zoomScale="92" zoomScaleNormal="92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4" sqref="D4:E7"/>
    </sheetView>
  </sheetViews>
  <sheetFormatPr baseColWidth="10" defaultColWidth="8.6640625" defaultRowHeight="15" customHeight="1" x14ac:dyDescent="0.2"/>
  <cols>
    <col min="1" max="1" width="12" customWidth="1"/>
    <col min="2" max="2" width="24" customWidth="1"/>
    <col min="3" max="3" width="28" customWidth="1"/>
    <col min="4" max="5" width="13" customWidth="1"/>
    <col min="6" max="6" width="28" customWidth="1"/>
    <col min="7" max="7" width="12" customWidth="1"/>
    <col min="8" max="8" width="10" customWidth="1"/>
    <col min="9" max="10" width="20" customWidth="1"/>
    <col min="11" max="11" width="28" customWidth="1"/>
    <col min="12" max="12" width="12" customWidth="1"/>
  </cols>
  <sheetData>
    <row r="1" spans="1:12" ht="17.25" customHeight="1" x14ac:dyDescent="0.2">
      <c r="A1" s="62" t="s">
        <v>320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4"/>
    </row>
    <row r="2" spans="1:12" ht="15" customHeight="1" x14ac:dyDescent="0.2">
      <c r="A2" s="68" t="s">
        <v>295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4"/>
    </row>
    <row r="3" spans="1:12" ht="15" customHeight="1" x14ac:dyDescent="0.2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G3" s="2" t="s">
        <v>8</v>
      </c>
      <c r="H3" s="2" t="s">
        <v>9</v>
      </c>
      <c r="I3" s="2" t="s">
        <v>10</v>
      </c>
      <c r="J3" s="2" t="s">
        <v>11</v>
      </c>
      <c r="K3" s="2" t="s">
        <v>12</v>
      </c>
      <c r="L3" s="2" t="s">
        <v>13</v>
      </c>
    </row>
    <row r="4" spans="1:12" ht="24.75" customHeight="1" x14ac:dyDescent="0.2">
      <c r="A4" s="7" t="s">
        <v>321</v>
      </c>
      <c r="B4" s="53" t="s">
        <v>322</v>
      </c>
      <c r="C4" s="19" t="str">
        <f>'3_OCTAVOS'!K4</f>
        <v/>
      </c>
      <c r="D4" s="52"/>
      <c r="E4" s="52"/>
      <c r="F4" s="19" t="str">
        <f>'3_OCTAVOS'!K5</f>
        <v/>
      </c>
      <c r="G4" s="54">
        <v>46212</v>
      </c>
      <c r="H4" s="9" t="s">
        <v>323</v>
      </c>
      <c r="I4" s="20" t="s">
        <v>253</v>
      </c>
      <c r="J4" s="20" t="s">
        <v>254</v>
      </c>
      <c r="K4" s="21" t="str">
        <f>IF(OR(D4="",E4=""),"",IF(D4&gt;E4,C4,IF(E4&gt;D4,F4,"Empate no válido")))</f>
        <v/>
      </c>
      <c r="L4" s="9" t="s">
        <v>324</v>
      </c>
    </row>
    <row r="5" spans="1:12" ht="24.75" customHeight="1" x14ac:dyDescent="0.2">
      <c r="A5" s="7" t="s">
        <v>325</v>
      </c>
      <c r="B5" s="53" t="s">
        <v>326</v>
      </c>
      <c r="C5" s="19" t="str">
        <f>'3_OCTAVOS'!K8</f>
        <v/>
      </c>
      <c r="D5" s="52"/>
      <c r="E5" s="52"/>
      <c r="F5" s="19" t="str">
        <f>'3_OCTAVOS'!K9</f>
        <v/>
      </c>
      <c r="G5" s="54">
        <v>46212</v>
      </c>
      <c r="H5" s="9" t="s">
        <v>327</v>
      </c>
      <c r="I5" s="20" t="s">
        <v>81</v>
      </c>
      <c r="J5" s="20" t="s">
        <v>82</v>
      </c>
      <c r="K5" s="21" t="str">
        <f>IF(OR(D5="",E5=""),"",IF(D5&gt;E5,C5,IF(E5&gt;D5,F5,"Empate no válido")))</f>
        <v/>
      </c>
      <c r="L5" s="9" t="s">
        <v>324</v>
      </c>
    </row>
    <row r="6" spans="1:12" ht="24.75" customHeight="1" x14ac:dyDescent="0.2">
      <c r="A6" s="7" t="s">
        <v>328</v>
      </c>
      <c r="B6" s="53" t="s">
        <v>329</v>
      </c>
      <c r="C6" s="19" t="str">
        <f>'3_OCTAVOS'!K6</f>
        <v/>
      </c>
      <c r="D6" s="52"/>
      <c r="E6" s="52"/>
      <c r="F6" s="19" t="str">
        <f>'3_OCTAVOS'!K7</f>
        <v/>
      </c>
      <c r="G6" s="54">
        <v>46213</v>
      </c>
      <c r="H6" s="9" t="s">
        <v>323</v>
      </c>
      <c r="I6" s="20" t="s">
        <v>23</v>
      </c>
      <c r="J6" s="20" t="s">
        <v>263</v>
      </c>
      <c r="K6" s="21" t="str">
        <f>IF(OR(D6="",E6=""),"",IF(D6&gt;E6,C6,IF(E6&gt;D6,F6,"Empate no válido")))</f>
        <v/>
      </c>
      <c r="L6" s="9" t="s">
        <v>324</v>
      </c>
    </row>
    <row r="7" spans="1:12" ht="24.75" customHeight="1" x14ac:dyDescent="0.2">
      <c r="A7" s="7" t="s">
        <v>330</v>
      </c>
      <c r="B7" s="53" t="s">
        <v>331</v>
      </c>
      <c r="C7" s="19" t="str">
        <f>'3_OCTAVOS'!K10</f>
        <v/>
      </c>
      <c r="D7" s="52"/>
      <c r="E7" s="52"/>
      <c r="F7" s="19" t="str">
        <f>'3_OCTAVOS'!K11</f>
        <v/>
      </c>
      <c r="G7" s="54">
        <v>46213</v>
      </c>
      <c r="H7" s="9" t="s">
        <v>327</v>
      </c>
      <c r="I7" s="20" t="s">
        <v>72</v>
      </c>
      <c r="J7" s="20" t="s">
        <v>73</v>
      </c>
      <c r="K7" s="21" t="str">
        <f>IF(OR(D7="",E7=""),"",IF(D7&gt;E7,C7,IF(E7&gt;D7,F7,"Empate no válido")))</f>
        <v/>
      </c>
      <c r="L7" s="9" t="s">
        <v>324</v>
      </c>
    </row>
    <row r="8" spans="1:12" ht="24.75" customHeight="1" x14ac:dyDescent="0.2">
      <c r="A8" s="7"/>
      <c r="B8" s="53"/>
      <c r="C8" s="19"/>
      <c r="D8" s="46"/>
      <c r="E8" s="46"/>
      <c r="F8" s="19"/>
      <c r="G8" s="10"/>
      <c r="H8" s="9"/>
      <c r="I8" s="20"/>
      <c r="J8" s="20"/>
      <c r="K8" s="21"/>
      <c r="L8" s="9"/>
    </row>
    <row r="9" spans="1:12" ht="24.75" customHeight="1" x14ac:dyDescent="0.2">
      <c r="A9" s="7"/>
      <c r="B9" s="53"/>
      <c r="C9" s="19"/>
      <c r="D9" s="46"/>
      <c r="E9" s="46"/>
      <c r="F9" s="19"/>
      <c r="G9" s="10"/>
      <c r="H9" s="9"/>
      <c r="I9" s="20"/>
      <c r="J9" s="20"/>
      <c r="K9" s="21"/>
      <c r="L9" s="9"/>
    </row>
    <row r="10" spans="1:12" ht="24.75" customHeight="1" x14ac:dyDescent="0.2">
      <c r="A10" s="7"/>
      <c r="B10" s="53"/>
      <c r="C10" s="19"/>
      <c r="D10" s="46"/>
      <c r="E10" s="46"/>
      <c r="F10" s="19"/>
      <c r="G10" s="10"/>
      <c r="H10" s="9"/>
      <c r="I10" s="20"/>
      <c r="J10" s="20"/>
      <c r="K10" s="21"/>
      <c r="L10" s="9"/>
    </row>
    <row r="11" spans="1:12" ht="24.75" customHeight="1" x14ac:dyDescent="0.2">
      <c r="A11" s="7"/>
      <c r="B11" s="53"/>
      <c r="C11" s="19"/>
      <c r="D11" s="46"/>
      <c r="E11" s="46"/>
      <c r="F11" s="19"/>
      <c r="G11" s="10"/>
      <c r="H11" s="9"/>
      <c r="I11" s="20"/>
      <c r="J11" s="20"/>
      <c r="K11" s="21"/>
      <c r="L11" s="9"/>
    </row>
    <row r="12" spans="1:12" x14ac:dyDescent="0.2"/>
    <row r="13" spans="1:12" x14ac:dyDescent="0.2"/>
    <row r="14" spans="1:12" x14ac:dyDescent="0.2"/>
    <row r="15" spans="1:12" x14ac:dyDescent="0.2"/>
    <row r="16" spans="1:12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  <row r="42" x14ac:dyDescent="0.2"/>
    <row r="43" x14ac:dyDescent="0.2"/>
    <row r="44" x14ac:dyDescent="0.2"/>
    <row r="45" x14ac:dyDescent="0.2"/>
    <row r="46" x14ac:dyDescent="0.2"/>
    <row r="47" x14ac:dyDescent="0.2"/>
    <row r="48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</sheetData>
  <sheetProtection password="CE4B" sheet="1"/>
  <mergeCells count="2">
    <mergeCell ref="A2:L2"/>
    <mergeCell ref="A1:L1"/>
  </mergeCells>
  <conditionalFormatting sqref="D4:K11">
    <cfRule type="expression" dxfId="5" priority="2">
      <formula>AND($D4=$E4,$D4&lt;&gt;"",$E4&lt;&gt;"")</formula>
    </cfRule>
    <cfRule type="expression" dxfId="4" priority="3">
      <formula>AND($D4&lt;&gt;"",$E4&lt;&gt;"",$D4&lt;&gt;$E4)</formula>
    </cfRule>
  </conditionalFormatting>
  <dataValidations count="1">
    <dataValidation type="whole" allowBlank="1" showInputMessage="1" showErrorMessage="1" errorTitle="Valor no válido" error="Solo se permiten enteros entre 0 y 9." promptTitle="Captura válida" prompt="Ingresa un marcador entero entre 0 y 9." sqref="D4:E11" xr:uid="{00000000-0002-0000-0600-000000000000}">
      <formula1>0</formula1>
      <formula2>9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L199"/>
  <sheetViews>
    <sheetView showGridLines="0" zoomScale="92" zoomScaleNormal="92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4" sqref="D4:E5"/>
    </sheetView>
  </sheetViews>
  <sheetFormatPr baseColWidth="10" defaultColWidth="8.6640625" defaultRowHeight="15" customHeight="1" x14ac:dyDescent="0.2"/>
  <cols>
    <col min="1" max="1" width="12" customWidth="1"/>
    <col min="2" max="2" width="24" customWidth="1"/>
    <col min="3" max="3" width="28" customWidth="1"/>
    <col min="4" max="5" width="13" customWidth="1"/>
    <col min="6" max="6" width="28" customWidth="1"/>
    <col min="7" max="7" width="12" customWidth="1"/>
    <col min="8" max="8" width="10" customWidth="1"/>
    <col min="9" max="10" width="20" customWidth="1"/>
    <col min="11" max="11" width="28" customWidth="1"/>
    <col min="12" max="12" width="12" customWidth="1"/>
  </cols>
  <sheetData>
    <row r="1" spans="1:12" ht="17.25" customHeight="1" x14ac:dyDescent="0.2">
      <c r="A1" s="62" t="s">
        <v>332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4"/>
    </row>
    <row r="2" spans="1:12" ht="15" customHeight="1" x14ac:dyDescent="0.2">
      <c r="A2" s="68" t="s">
        <v>333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4"/>
    </row>
    <row r="3" spans="1:12" ht="15" customHeight="1" x14ac:dyDescent="0.2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G3" s="2" t="s">
        <v>8</v>
      </c>
      <c r="H3" s="2" t="s">
        <v>9</v>
      </c>
      <c r="I3" s="2" t="s">
        <v>10</v>
      </c>
      <c r="J3" s="2" t="s">
        <v>11</v>
      </c>
      <c r="K3" s="2" t="s">
        <v>12</v>
      </c>
      <c r="L3" s="2" t="s">
        <v>13</v>
      </c>
    </row>
    <row r="4" spans="1:12" ht="24.75" customHeight="1" x14ac:dyDescent="0.2">
      <c r="A4" s="7" t="s">
        <v>334</v>
      </c>
      <c r="B4" s="53" t="s">
        <v>335</v>
      </c>
      <c r="C4" s="19" t="str">
        <f>'4_CUARTOS'!K4</f>
        <v/>
      </c>
      <c r="D4" s="52"/>
      <c r="E4" s="52"/>
      <c r="F4" s="19" t="str">
        <f>'4_CUARTOS'!K5</f>
        <v/>
      </c>
      <c r="G4" s="54">
        <v>46217</v>
      </c>
      <c r="H4" s="9" t="s">
        <v>22</v>
      </c>
      <c r="I4" s="20" t="s">
        <v>317</v>
      </c>
      <c r="J4" s="20" t="s">
        <v>271</v>
      </c>
      <c r="K4" s="21" t="str">
        <f>IF(OR(D4="",E4=""),"",IF(D4&gt;E4,C4,IF(E4&gt;D4,F4,"Empate no válido")))</f>
        <v/>
      </c>
      <c r="L4" s="9" t="s">
        <v>336</v>
      </c>
    </row>
    <row r="5" spans="1:12" ht="24.75" customHeight="1" x14ac:dyDescent="0.2">
      <c r="A5" s="7" t="s">
        <v>337</v>
      </c>
      <c r="B5" s="53" t="s">
        <v>338</v>
      </c>
      <c r="C5" s="19" t="str">
        <f>'4_CUARTOS'!K6</f>
        <v/>
      </c>
      <c r="D5" s="52"/>
      <c r="E5" s="52"/>
      <c r="F5" s="19" t="str">
        <f>'4_CUARTOS'!K7</f>
        <v/>
      </c>
      <c r="G5" s="54">
        <v>46218</v>
      </c>
      <c r="H5" s="9" t="s">
        <v>22</v>
      </c>
      <c r="I5" s="20" t="s">
        <v>81</v>
      </c>
      <c r="J5" s="20" t="s">
        <v>82</v>
      </c>
      <c r="K5" s="21" t="str">
        <f>IF(OR(D5="",E5=""),"",IF(D5&gt;E5,C5,IF(E5&gt;D5,F5,"Empate no válido")))</f>
        <v/>
      </c>
      <c r="L5" s="9" t="s">
        <v>336</v>
      </c>
    </row>
    <row r="6" spans="1:12" ht="24.75" customHeight="1" x14ac:dyDescent="0.2">
      <c r="A6" s="7"/>
      <c r="B6" s="53"/>
      <c r="C6" s="19"/>
      <c r="D6" s="46"/>
      <c r="E6" s="46"/>
      <c r="F6" s="19"/>
      <c r="G6" s="10"/>
      <c r="H6" s="9"/>
      <c r="I6" s="20"/>
      <c r="J6" s="20"/>
      <c r="K6" s="21"/>
      <c r="L6" s="9"/>
    </row>
    <row r="7" spans="1:12" ht="24.75" customHeight="1" x14ac:dyDescent="0.2">
      <c r="A7" s="7"/>
      <c r="B7" s="53"/>
      <c r="C7" s="19"/>
      <c r="D7" s="46"/>
      <c r="E7" s="46"/>
      <c r="F7" s="19"/>
      <c r="G7" s="10"/>
      <c r="H7" s="9"/>
      <c r="I7" s="20"/>
      <c r="J7" s="20"/>
      <c r="K7" s="21"/>
      <c r="L7" s="9"/>
    </row>
    <row r="8" spans="1:12" x14ac:dyDescent="0.2"/>
    <row r="9" spans="1:12" x14ac:dyDescent="0.2"/>
    <row r="10" spans="1:12" x14ac:dyDescent="0.2"/>
    <row r="11" spans="1:12" x14ac:dyDescent="0.2"/>
    <row r="12" spans="1:12" x14ac:dyDescent="0.2"/>
    <row r="13" spans="1:12" x14ac:dyDescent="0.2"/>
    <row r="14" spans="1:12" x14ac:dyDescent="0.2"/>
    <row r="15" spans="1:12" x14ac:dyDescent="0.2"/>
    <row r="16" spans="1:12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  <row r="42" x14ac:dyDescent="0.2"/>
    <row r="43" x14ac:dyDescent="0.2"/>
    <row r="44" x14ac:dyDescent="0.2"/>
    <row r="45" x14ac:dyDescent="0.2"/>
    <row r="46" x14ac:dyDescent="0.2"/>
    <row r="47" x14ac:dyDescent="0.2"/>
    <row r="48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</sheetData>
  <sheetProtection password="CE4B" sheet="1"/>
  <mergeCells count="2">
    <mergeCell ref="A2:L2"/>
    <mergeCell ref="A1:L1"/>
  </mergeCells>
  <conditionalFormatting sqref="D4:K7">
    <cfRule type="expression" dxfId="3" priority="2">
      <formula>AND($D4=$E4,$D4&lt;&gt;"",$E4&lt;&gt;"")</formula>
    </cfRule>
    <cfRule type="expression" dxfId="2" priority="3">
      <formula>AND($D4&lt;&gt;"",$E4&lt;&gt;"",$D4&lt;&gt;$E4)</formula>
    </cfRule>
  </conditionalFormatting>
  <dataValidations count="1">
    <dataValidation type="whole" allowBlank="1" showInputMessage="1" showErrorMessage="1" errorTitle="Valor no válido" error="Solo se permiten enteros entre 0 y 9." promptTitle="Captura válida" prompt="Ingresa un marcador entero entre 0 y 9." sqref="D4:E7" xr:uid="{00000000-0002-0000-0700-000000000000}">
      <formula1>0</formula1>
      <formula2>9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L10"/>
  <sheetViews>
    <sheetView showGridLines="0" zoomScale="92" zoomScaleNormal="92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4" sqref="D4:E5"/>
    </sheetView>
  </sheetViews>
  <sheetFormatPr baseColWidth="10" defaultColWidth="8.6640625" defaultRowHeight="15" customHeight="1" x14ac:dyDescent="0.2"/>
  <cols>
    <col min="1" max="1" width="12" customWidth="1"/>
    <col min="2" max="2" width="24" customWidth="1"/>
    <col min="3" max="3" width="28" customWidth="1"/>
    <col min="4" max="5" width="13" customWidth="1"/>
    <col min="6" max="6" width="28" customWidth="1"/>
    <col min="7" max="7" width="12" customWidth="1"/>
    <col min="8" max="8" width="10" customWidth="1"/>
    <col min="9" max="10" width="20" customWidth="1"/>
    <col min="11" max="11" width="28" customWidth="1"/>
    <col min="12" max="12" width="12" customWidth="1"/>
  </cols>
  <sheetData>
    <row r="1" spans="1:12" ht="17.25" customHeight="1" x14ac:dyDescent="0.2">
      <c r="A1" s="47" t="s">
        <v>0</v>
      </c>
    </row>
    <row r="2" spans="1:12" ht="15" customHeight="1" x14ac:dyDescent="0.2">
      <c r="A2" s="48" t="s">
        <v>1</v>
      </c>
    </row>
    <row r="3" spans="1:12" ht="15" customHeight="1" x14ac:dyDescent="0.2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G3" s="2" t="s">
        <v>8</v>
      </c>
      <c r="H3" s="2" t="s">
        <v>9</v>
      </c>
      <c r="I3" s="2" t="s">
        <v>10</v>
      </c>
      <c r="J3" s="2" t="s">
        <v>11</v>
      </c>
      <c r="K3" s="2" t="s">
        <v>12</v>
      </c>
      <c r="L3" s="2" t="s">
        <v>13</v>
      </c>
    </row>
    <row r="4" spans="1:12" ht="24.75" customHeight="1" x14ac:dyDescent="0.2">
      <c r="A4" s="7" t="s">
        <v>14</v>
      </c>
      <c r="B4" s="53" t="s">
        <v>15</v>
      </c>
      <c r="C4" s="19" t="str">
        <f>IF('5_SEMIS'!K4="","Perdedor SF-01",IF('5_SEMIS'!K4='5_SEMIS'!C4,'5_SEMIS'!F4,'5_SEMIS'!C4))</f>
        <v>Perdedor SF-01</v>
      </c>
      <c r="D4" s="52"/>
      <c r="E4" s="52"/>
      <c r="F4" s="19" t="str">
        <f>IF('5_SEMIS'!K5="","Perdedor SF-02",IF('5_SEMIS'!K5='5_SEMIS'!C5,'5_SEMIS'!F5,'5_SEMIS'!C5))</f>
        <v>Perdedor SF-02</v>
      </c>
      <c r="G4" s="54">
        <v>46221</v>
      </c>
      <c r="H4" s="9" t="s">
        <v>16</v>
      </c>
      <c r="I4" s="20" t="s">
        <v>17</v>
      </c>
      <c r="J4" s="20" t="s">
        <v>18</v>
      </c>
      <c r="K4" s="21" t="str">
        <f>IF(OR(D4="",E4=""),"",IF(D4&gt;E4,C4,IF(E4&gt;D4,F4,"Empate no válido")))</f>
        <v/>
      </c>
      <c r="L4" s="9" t="s">
        <v>19</v>
      </c>
    </row>
    <row r="5" spans="1:12" ht="24.75" customHeight="1" x14ac:dyDescent="0.2">
      <c r="A5" s="7" t="s">
        <v>20</v>
      </c>
      <c r="B5" s="53" t="s">
        <v>21</v>
      </c>
      <c r="C5" s="19" t="str">
        <f>'5_SEMIS'!K4</f>
        <v/>
      </c>
      <c r="D5" s="52"/>
      <c r="E5" s="52"/>
      <c r="F5" s="19" t="str">
        <f>'5_SEMIS'!K5</f>
        <v/>
      </c>
      <c r="G5" s="54">
        <v>46222</v>
      </c>
      <c r="H5" s="9" t="s">
        <v>22</v>
      </c>
      <c r="I5" s="20" t="s">
        <v>23</v>
      </c>
      <c r="J5" s="20" t="s">
        <v>24</v>
      </c>
      <c r="K5" s="21" t="str">
        <f>IF(OR(D5="",E5=""),"",IF(D5&gt;E5,C5,IF(E5&gt;D5,F5,"Empate no válido")))</f>
        <v/>
      </c>
      <c r="L5" s="9" t="s">
        <v>25</v>
      </c>
    </row>
    <row r="6" spans="1:12" ht="24.75" customHeight="1" x14ac:dyDescent="0.2">
      <c r="A6" s="7"/>
      <c r="B6" s="53"/>
      <c r="C6" s="19"/>
      <c r="D6" s="46"/>
      <c r="E6" s="46"/>
      <c r="F6" s="19"/>
      <c r="G6" s="10"/>
      <c r="H6" s="9"/>
      <c r="I6" s="20"/>
      <c r="J6" s="20"/>
      <c r="K6" s="21"/>
      <c r="L6" s="9"/>
    </row>
    <row r="7" spans="1:12" x14ac:dyDescent="0.2">
      <c r="A7" s="55" t="s">
        <v>26</v>
      </c>
    </row>
    <row r="8" spans="1:12" ht="21.75" customHeight="1" x14ac:dyDescent="0.2">
      <c r="A8" s="49" t="str">
        <f>K5</f>
        <v/>
      </c>
    </row>
    <row r="9" spans="1:12" ht="24" customHeight="1" x14ac:dyDescent="0.2">
      <c r="A9" s="50"/>
    </row>
    <row r="10" spans="1:12" x14ac:dyDescent="0.2"/>
  </sheetData>
  <sheetProtection password="CE4B" sheet="1"/>
  <conditionalFormatting sqref="D4:K6">
    <cfRule type="expression" dxfId="1" priority="2">
      <formula>AND($D4=$E4,$D4&lt;&gt;"",$E4&lt;&gt;"")</formula>
    </cfRule>
    <cfRule type="expression" dxfId="0" priority="3">
      <formula>AND($D4&lt;&gt;"",$E4&lt;&gt;"",$D4&lt;&gt;$E4)</formula>
    </cfRule>
  </conditionalFormatting>
  <dataValidations count="1">
    <dataValidation type="whole" allowBlank="1" showInputMessage="1" showErrorMessage="1" errorTitle="Valor no válido" error="Solo se permiten enteros entre 0 y 9." promptTitle="Captura válida" prompt="Ingresa un marcador entero entre 0 y 9." sqref="D4:E6" xr:uid="{00000000-0002-0000-0800-000000000000}">
      <formula1>0</formula1>
      <formula2>9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I73"/>
  <sheetViews>
    <sheetView showGridLines="0" zoomScaleNormal="100" workbookViewId="0">
      <pane ySplit="1" topLeftCell="A2" activePane="bottomLeft" state="frozen"/>
      <selection sqref="A1:L1"/>
      <selection pane="bottomLeft" sqref="A1:L1"/>
    </sheetView>
  </sheetViews>
  <sheetFormatPr baseColWidth="10" defaultColWidth="8.6640625" defaultRowHeight="15" customHeight="1" x14ac:dyDescent="0.2"/>
  <cols>
    <col min="1" max="1" width="10" customWidth="1"/>
    <col min="2" max="2" width="8" customWidth="1"/>
    <col min="3" max="4" width="28" customWidth="1"/>
    <col min="5" max="5" width="12" customWidth="1"/>
    <col min="6" max="6" width="10" customWidth="1"/>
    <col min="7" max="7" width="18" customWidth="1"/>
    <col min="8" max="8" width="20" customWidth="1"/>
    <col min="9" max="9" width="30" customWidth="1"/>
  </cols>
  <sheetData>
    <row r="1" spans="1:9" ht="15" customHeight="1" x14ac:dyDescent="0.2">
      <c r="A1" s="2" t="s">
        <v>2</v>
      </c>
      <c r="B1" s="2" t="s">
        <v>49</v>
      </c>
      <c r="C1" s="2" t="s">
        <v>50</v>
      </c>
      <c r="D1" s="2" t="s">
        <v>53</v>
      </c>
      <c r="E1" s="2" t="s">
        <v>8</v>
      </c>
      <c r="F1" s="2" t="s">
        <v>9</v>
      </c>
      <c r="G1" s="2" t="s">
        <v>10</v>
      </c>
      <c r="H1" s="2" t="s">
        <v>11</v>
      </c>
      <c r="I1" s="2" t="s">
        <v>339</v>
      </c>
    </row>
    <row r="2" spans="1:9" ht="21.75" customHeight="1" x14ac:dyDescent="0.2">
      <c r="A2" s="22" t="s">
        <v>55</v>
      </c>
      <c r="B2" s="22" t="s">
        <v>56</v>
      </c>
      <c r="C2" s="23" t="s">
        <v>57</v>
      </c>
      <c r="D2" s="23" t="s">
        <v>58</v>
      </c>
      <c r="E2" s="24">
        <v>46184</v>
      </c>
      <c r="F2" s="5" t="s">
        <v>60</v>
      </c>
      <c r="G2" s="23" t="s">
        <v>61</v>
      </c>
      <c r="H2" s="23" t="s">
        <v>62</v>
      </c>
      <c r="I2" s="23" t="s">
        <v>340</v>
      </c>
    </row>
    <row r="3" spans="1:9" ht="21.75" customHeight="1" x14ac:dyDescent="0.2">
      <c r="A3" s="25" t="s">
        <v>64</v>
      </c>
      <c r="B3" s="25" t="s">
        <v>56</v>
      </c>
      <c r="C3" s="26" t="s">
        <v>57</v>
      </c>
      <c r="D3" s="26" t="s">
        <v>65</v>
      </c>
      <c r="E3" s="27">
        <v>46185</v>
      </c>
      <c r="F3" s="28" t="s">
        <v>16</v>
      </c>
      <c r="G3" s="26" t="s">
        <v>66</v>
      </c>
      <c r="H3" s="26" t="s">
        <v>67</v>
      </c>
      <c r="I3" s="26" t="s">
        <v>340</v>
      </c>
    </row>
    <row r="4" spans="1:9" ht="21.75" customHeight="1" x14ac:dyDescent="0.2">
      <c r="A4" s="22" t="s">
        <v>69</v>
      </c>
      <c r="B4" s="22" t="s">
        <v>56</v>
      </c>
      <c r="C4" s="23" t="s">
        <v>57</v>
      </c>
      <c r="D4" s="23" t="s">
        <v>70</v>
      </c>
      <c r="E4" s="24">
        <v>46186</v>
      </c>
      <c r="F4" s="5" t="s">
        <v>71</v>
      </c>
      <c r="G4" s="23" t="s">
        <v>72</v>
      </c>
      <c r="H4" s="23" t="s">
        <v>73</v>
      </c>
      <c r="I4" s="23" t="s">
        <v>340</v>
      </c>
    </row>
    <row r="5" spans="1:9" ht="21.75" customHeight="1" x14ac:dyDescent="0.2">
      <c r="A5" s="25" t="s">
        <v>75</v>
      </c>
      <c r="B5" s="25" t="s">
        <v>56</v>
      </c>
      <c r="C5" s="26" t="s">
        <v>58</v>
      </c>
      <c r="D5" s="26" t="s">
        <v>65</v>
      </c>
      <c r="E5" s="27">
        <v>46187</v>
      </c>
      <c r="F5" s="28" t="s">
        <v>76</v>
      </c>
      <c r="G5" s="26" t="s">
        <v>77</v>
      </c>
      <c r="H5" s="26" t="s">
        <v>78</v>
      </c>
      <c r="I5" s="26" t="s">
        <v>340</v>
      </c>
    </row>
    <row r="6" spans="1:9" ht="21.75" customHeight="1" x14ac:dyDescent="0.2">
      <c r="A6" s="22" t="s">
        <v>80</v>
      </c>
      <c r="B6" s="22" t="s">
        <v>56</v>
      </c>
      <c r="C6" s="23" t="s">
        <v>58</v>
      </c>
      <c r="D6" s="23" t="s">
        <v>70</v>
      </c>
      <c r="E6" s="24">
        <v>46188</v>
      </c>
      <c r="F6" s="5" t="s">
        <v>60</v>
      </c>
      <c r="G6" s="23" t="s">
        <v>81</v>
      </c>
      <c r="H6" s="23" t="s">
        <v>82</v>
      </c>
      <c r="I6" s="23" t="s">
        <v>340</v>
      </c>
    </row>
    <row r="7" spans="1:9" ht="21.75" customHeight="1" x14ac:dyDescent="0.2">
      <c r="A7" s="25" t="s">
        <v>84</v>
      </c>
      <c r="B7" s="25" t="s">
        <v>56</v>
      </c>
      <c r="C7" s="26" t="s">
        <v>65</v>
      </c>
      <c r="D7" s="26" t="s">
        <v>70</v>
      </c>
      <c r="E7" s="27">
        <v>46189</v>
      </c>
      <c r="F7" s="28" t="s">
        <v>16</v>
      </c>
      <c r="G7" s="26" t="s">
        <v>85</v>
      </c>
      <c r="H7" s="26" t="s">
        <v>86</v>
      </c>
      <c r="I7" s="26" t="s">
        <v>340</v>
      </c>
    </row>
    <row r="8" spans="1:9" ht="21.75" customHeight="1" x14ac:dyDescent="0.2">
      <c r="A8" s="22" t="s">
        <v>87</v>
      </c>
      <c r="B8" s="22" t="s">
        <v>88</v>
      </c>
      <c r="C8" s="23" t="s">
        <v>89</v>
      </c>
      <c r="D8" s="23" t="s">
        <v>90</v>
      </c>
      <c r="E8" s="24">
        <v>46184</v>
      </c>
      <c r="F8" s="5" t="s">
        <v>60</v>
      </c>
      <c r="G8" s="23" t="s">
        <v>23</v>
      </c>
      <c r="H8" s="23" t="s">
        <v>24</v>
      </c>
      <c r="I8" s="23" t="s">
        <v>340</v>
      </c>
    </row>
    <row r="9" spans="1:9" ht="21.75" customHeight="1" x14ac:dyDescent="0.2">
      <c r="A9" s="25" t="s">
        <v>91</v>
      </c>
      <c r="B9" s="25" t="s">
        <v>88</v>
      </c>
      <c r="C9" s="26" t="s">
        <v>89</v>
      </c>
      <c r="D9" s="26" t="s">
        <v>92</v>
      </c>
      <c r="E9" s="27">
        <v>46185</v>
      </c>
      <c r="F9" s="28" t="s">
        <v>16</v>
      </c>
      <c r="G9" s="26" t="s">
        <v>93</v>
      </c>
      <c r="H9" s="26" t="s">
        <v>94</v>
      </c>
      <c r="I9" s="26" t="s">
        <v>340</v>
      </c>
    </row>
    <row r="10" spans="1:9" ht="21.75" customHeight="1" x14ac:dyDescent="0.2">
      <c r="A10" s="22" t="s">
        <v>95</v>
      </c>
      <c r="B10" s="22" t="s">
        <v>88</v>
      </c>
      <c r="C10" s="23" t="s">
        <v>89</v>
      </c>
      <c r="D10" s="23" t="s">
        <v>96</v>
      </c>
      <c r="E10" s="24">
        <v>46186</v>
      </c>
      <c r="F10" s="5" t="s">
        <v>71</v>
      </c>
      <c r="G10" s="23" t="s">
        <v>61</v>
      </c>
      <c r="H10" s="23" t="s">
        <v>62</v>
      </c>
      <c r="I10" s="23" t="s">
        <v>340</v>
      </c>
    </row>
    <row r="11" spans="1:9" ht="21.75" customHeight="1" x14ac:dyDescent="0.2">
      <c r="A11" s="25" t="s">
        <v>97</v>
      </c>
      <c r="B11" s="25" t="s">
        <v>88</v>
      </c>
      <c r="C11" s="26" t="s">
        <v>90</v>
      </c>
      <c r="D11" s="26" t="s">
        <v>92</v>
      </c>
      <c r="E11" s="27">
        <v>46187</v>
      </c>
      <c r="F11" s="28" t="s">
        <v>76</v>
      </c>
      <c r="G11" s="26" t="s">
        <v>66</v>
      </c>
      <c r="H11" s="26" t="s">
        <v>67</v>
      </c>
      <c r="I11" s="26" t="s">
        <v>340</v>
      </c>
    </row>
    <row r="12" spans="1:9" ht="21.75" customHeight="1" x14ac:dyDescent="0.2">
      <c r="A12" s="22" t="s">
        <v>98</v>
      </c>
      <c r="B12" s="22" t="s">
        <v>88</v>
      </c>
      <c r="C12" s="23" t="s">
        <v>90</v>
      </c>
      <c r="D12" s="23" t="s">
        <v>96</v>
      </c>
      <c r="E12" s="24">
        <v>46188</v>
      </c>
      <c r="F12" s="5" t="s">
        <v>60</v>
      </c>
      <c r="G12" s="23" t="s">
        <v>72</v>
      </c>
      <c r="H12" s="23" t="s">
        <v>73</v>
      </c>
      <c r="I12" s="23" t="s">
        <v>340</v>
      </c>
    </row>
    <row r="13" spans="1:9" ht="21.75" customHeight="1" x14ac:dyDescent="0.2">
      <c r="A13" s="25" t="s">
        <v>99</v>
      </c>
      <c r="B13" s="25" t="s">
        <v>88</v>
      </c>
      <c r="C13" s="26" t="s">
        <v>92</v>
      </c>
      <c r="D13" s="26" t="s">
        <v>96</v>
      </c>
      <c r="E13" s="27">
        <v>46189</v>
      </c>
      <c r="F13" s="28" t="s">
        <v>16</v>
      </c>
      <c r="G13" s="26" t="s">
        <v>77</v>
      </c>
      <c r="H13" s="26" t="s">
        <v>78</v>
      </c>
      <c r="I13" s="26" t="s">
        <v>340</v>
      </c>
    </row>
    <row r="14" spans="1:9" ht="21.75" customHeight="1" x14ac:dyDescent="0.2">
      <c r="A14" s="22" t="s">
        <v>100</v>
      </c>
      <c r="B14" s="22" t="s">
        <v>101</v>
      </c>
      <c r="C14" s="23" t="s">
        <v>102</v>
      </c>
      <c r="D14" s="23" t="s">
        <v>103</v>
      </c>
      <c r="E14" s="24">
        <v>46184</v>
      </c>
      <c r="F14" s="5" t="s">
        <v>60</v>
      </c>
      <c r="G14" s="23" t="s">
        <v>81</v>
      </c>
      <c r="H14" s="23" t="s">
        <v>82</v>
      </c>
      <c r="I14" s="23" t="s">
        <v>340</v>
      </c>
    </row>
    <row r="15" spans="1:9" ht="21.75" customHeight="1" x14ac:dyDescent="0.2">
      <c r="A15" s="25" t="s">
        <v>104</v>
      </c>
      <c r="B15" s="25" t="s">
        <v>101</v>
      </c>
      <c r="C15" s="26" t="s">
        <v>102</v>
      </c>
      <c r="D15" s="26" t="s">
        <v>105</v>
      </c>
      <c r="E15" s="27">
        <v>46185</v>
      </c>
      <c r="F15" s="28" t="s">
        <v>16</v>
      </c>
      <c r="G15" s="26" t="s">
        <v>85</v>
      </c>
      <c r="H15" s="26" t="s">
        <v>86</v>
      </c>
      <c r="I15" s="26" t="s">
        <v>340</v>
      </c>
    </row>
    <row r="16" spans="1:9" ht="21.75" customHeight="1" x14ac:dyDescent="0.2">
      <c r="A16" s="22" t="s">
        <v>106</v>
      </c>
      <c r="B16" s="22" t="s">
        <v>101</v>
      </c>
      <c r="C16" s="23" t="s">
        <v>102</v>
      </c>
      <c r="D16" s="23" t="s">
        <v>107</v>
      </c>
      <c r="E16" s="24">
        <v>46186</v>
      </c>
      <c r="F16" s="5" t="s">
        <v>71</v>
      </c>
      <c r="G16" s="23" t="s">
        <v>23</v>
      </c>
      <c r="H16" s="23" t="s">
        <v>24</v>
      </c>
      <c r="I16" s="23" t="s">
        <v>340</v>
      </c>
    </row>
    <row r="17" spans="1:9" ht="21.75" customHeight="1" x14ac:dyDescent="0.2">
      <c r="A17" s="25" t="s">
        <v>108</v>
      </c>
      <c r="B17" s="25" t="s">
        <v>101</v>
      </c>
      <c r="C17" s="26" t="s">
        <v>103</v>
      </c>
      <c r="D17" s="26" t="s">
        <v>105</v>
      </c>
      <c r="E17" s="27">
        <v>46187</v>
      </c>
      <c r="F17" s="28" t="s">
        <v>76</v>
      </c>
      <c r="G17" s="26" t="s">
        <v>93</v>
      </c>
      <c r="H17" s="26" t="s">
        <v>94</v>
      </c>
      <c r="I17" s="26" t="s">
        <v>340</v>
      </c>
    </row>
    <row r="18" spans="1:9" ht="21.75" customHeight="1" x14ac:dyDescent="0.2">
      <c r="A18" s="22" t="s">
        <v>109</v>
      </c>
      <c r="B18" s="22" t="s">
        <v>101</v>
      </c>
      <c r="C18" s="23" t="s">
        <v>103</v>
      </c>
      <c r="D18" s="23" t="s">
        <v>107</v>
      </c>
      <c r="E18" s="24">
        <v>46188</v>
      </c>
      <c r="F18" s="5" t="s">
        <v>60</v>
      </c>
      <c r="G18" s="23" t="s">
        <v>61</v>
      </c>
      <c r="H18" s="23" t="s">
        <v>62</v>
      </c>
      <c r="I18" s="23" t="s">
        <v>340</v>
      </c>
    </row>
    <row r="19" spans="1:9" ht="21.75" customHeight="1" x14ac:dyDescent="0.2">
      <c r="A19" s="25" t="s">
        <v>110</v>
      </c>
      <c r="B19" s="25" t="s">
        <v>101</v>
      </c>
      <c r="C19" s="26" t="s">
        <v>105</v>
      </c>
      <c r="D19" s="26" t="s">
        <v>107</v>
      </c>
      <c r="E19" s="27">
        <v>46189</v>
      </c>
      <c r="F19" s="28" t="s">
        <v>16</v>
      </c>
      <c r="G19" s="26" t="s">
        <v>66</v>
      </c>
      <c r="H19" s="26" t="s">
        <v>67</v>
      </c>
      <c r="I19" s="26" t="s">
        <v>340</v>
      </c>
    </row>
    <row r="20" spans="1:9" ht="21.75" customHeight="1" x14ac:dyDescent="0.2">
      <c r="A20" s="22" t="s">
        <v>111</v>
      </c>
      <c r="B20" s="22" t="s">
        <v>112</v>
      </c>
      <c r="C20" s="23" t="s">
        <v>113</v>
      </c>
      <c r="D20" s="23" t="s">
        <v>114</v>
      </c>
      <c r="E20" s="24">
        <v>46184</v>
      </c>
      <c r="F20" s="5" t="s">
        <v>60</v>
      </c>
      <c r="G20" s="23" t="s">
        <v>72</v>
      </c>
      <c r="H20" s="23" t="s">
        <v>73</v>
      </c>
      <c r="I20" s="23" t="s">
        <v>340</v>
      </c>
    </row>
    <row r="21" spans="1:9" ht="21.75" customHeight="1" x14ac:dyDescent="0.2">
      <c r="A21" s="25" t="s">
        <v>115</v>
      </c>
      <c r="B21" s="25" t="s">
        <v>112</v>
      </c>
      <c r="C21" s="26" t="s">
        <v>113</v>
      </c>
      <c r="D21" s="26" t="s">
        <v>116</v>
      </c>
      <c r="E21" s="27">
        <v>46185</v>
      </c>
      <c r="F21" s="28" t="s">
        <v>16</v>
      </c>
      <c r="G21" s="26" t="s">
        <v>77</v>
      </c>
      <c r="H21" s="26" t="s">
        <v>78</v>
      </c>
      <c r="I21" s="26" t="s">
        <v>340</v>
      </c>
    </row>
    <row r="22" spans="1:9" ht="21.75" customHeight="1" x14ac:dyDescent="0.2">
      <c r="A22" s="22" t="s">
        <v>117</v>
      </c>
      <c r="B22" s="22" t="s">
        <v>112</v>
      </c>
      <c r="C22" s="23" t="s">
        <v>113</v>
      </c>
      <c r="D22" s="23" t="s">
        <v>118</v>
      </c>
      <c r="E22" s="24">
        <v>46186</v>
      </c>
      <c r="F22" s="5" t="s">
        <v>71</v>
      </c>
      <c r="G22" s="23" t="s">
        <v>81</v>
      </c>
      <c r="H22" s="23" t="s">
        <v>82</v>
      </c>
      <c r="I22" s="23" t="s">
        <v>340</v>
      </c>
    </row>
    <row r="23" spans="1:9" ht="21.75" customHeight="1" x14ac:dyDescent="0.2">
      <c r="A23" s="25" t="s">
        <v>119</v>
      </c>
      <c r="B23" s="25" t="s">
        <v>112</v>
      </c>
      <c r="C23" s="26" t="s">
        <v>114</v>
      </c>
      <c r="D23" s="26" t="s">
        <v>116</v>
      </c>
      <c r="E23" s="27">
        <v>46187</v>
      </c>
      <c r="F23" s="28" t="s">
        <v>76</v>
      </c>
      <c r="G23" s="26" t="s">
        <v>85</v>
      </c>
      <c r="H23" s="26" t="s">
        <v>86</v>
      </c>
      <c r="I23" s="26" t="s">
        <v>340</v>
      </c>
    </row>
    <row r="24" spans="1:9" ht="21.75" customHeight="1" x14ac:dyDescent="0.2">
      <c r="A24" s="22" t="s">
        <v>120</v>
      </c>
      <c r="B24" s="22" t="s">
        <v>112</v>
      </c>
      <c r="C24" s="23" t="s">
        <v>114</v>
      </c>
      <c r="D24" s="23" t="s">
        <v>118</v>
      </c>
      <c r="E24" s="24">
        <v>46188</v>
      </c>
      <c r="F24" s="5" t="s">
        <v>60</v>
      </c>
      <c r="G24" s="23" t="s">
        <v>23</v>
      </c>
      <c r="H24" s="23" t="s">
        <v>24</v>
      </c>
      <c r="I24" s="23" t="s">
        <v>340</v>
      </c>
    </row>
    <row r="25" spans="1:9" ht="21.75" customHeight="1" x14ac:dyDescent="0.2">
      <c r="A25" s="25" t="s">
        <v>121</v>
      </c>
      <c r="B25" s="25" t="s">
        <v>112</v>
      </c>
      <c r="C25" s="26" t="s">
        <v>116</v>
      </c>
      <c r="D25" s="26" t="s">
        <v>118</v>
      </c>
      <c r="E25" s="27">
        <v>46189</v>
      </c>
      <c r="F25" s="28" t="s">
        <v>16</v>
      </c>
      <c r="G25" s="26" t="s">
        <v>93</v>
      </c>
      <c r="H25" s="26" t="s">
        <v>94</v>
      </c>
      <c r="I25" s="26" t="s">
        <v>340</v>
      </c>
    </row>
    <row r="26" spans="1:9" ht="21.75" customHeight="1" x14ac:dyDescent="0.2">
      <c r="A26" s="22" t="s">
        <v>122</v>
      </c>
      <c r="B26" s="22" t="s">
        <v>123</v>
      </c>
      <c r="C26" s="23" t="s">
        <v>124</v>
      </c>
      <c r="D26" s="23" t="s">
        <v>125</v>
      </c>
      <c r="E26" s="24">
        <v>46184</v>
      </c>
      <c r="F26" s="5" t="s">
        <v>60</v>
      </c>
      <c r="G26" s="23" t="s">
        <v>61</v>
      </c>
      <c r="H26" s="23" t="s">
        <v>62</v>
      </c>
      <c r="I26" s="23" t="s">
        <v>340</v>
      </c>
    </row>
    <row r="27" spans="1:9" ht="21.75" customHeight="1" x14ac:dyDescent="0.2">
      <c r="A27" s="25" t="s">
        <v>126</v>
      </c>
      <c r="B27" s="25" t="s">
        <v>123</v>
      </c>
      <c r="C27" s="26" t="s">
        <v>124</v>
      </c>
      <c r="D27" s="26" t="s">
        <v>127</v>
      </c>
      <c r="E27" s="27">
        <v>46185</v>
      </c>
      <c r="F27" s="28" t="s">
        <v>16</v>
      </c>
      <c r="G27" s="26" t="s">
        <v>66</v>
      </c>
      <c r="H27" s="26" t="s">
        <v>67</v>
      </c>
      <c r="I27" s="26" t="s">
        <v>340</v>
      </c>
    </row>
    <row r="28" spans="1:9" ht="21.75" customHeight="1" x14ac:dyDescent="0.2">
      <c r="A28" s="22" t="s">
        <v>128</v>
      </c>
      <c r="B28" s="22" t="s">
        <v>123</v>
      </c>
      <c r="C28" s="23" t="s">
        <v>124</v>
      </c>
      <c r="D28" s="23" t="s">
        <v>129</v>
      </c>
      <c r="E28" s="24">
        <v>46186</v>
      </c>
      <c r="F28" s="5" t="s">
        <v>71</v>
      </c>
      <c r="G28" s="23" t="s">
        <v>72</v>
      </c>
      <c r="H28" s="23" t="s">
        <v>73</v>
      </c>
      <c r="I28" s="23" t="s">
        <v>340</v>
      </c>
    </row>
    <row r="29" spans="1:9" ht="21.75" customHeight="1" x14ac:dyDescent="0.2">
      <c r="A29" s="25" t="s">
        <v>130</v>
      </c>
      <c r="B29" s="25" t="s">
        <v>123</v>
      </c>
      <c r="C29" s="26" t="s">
        <v>125</v>
      </c>
      <c r="D29" s="26" t="s">
        <v>127</v>
      </c>
      <c r="E29" s="27">
        <v>46187</v>
      </c>
      <c r="F29" s="28" t="s">
        <v>76</v>
      </c>
      <c r="G29" s="26" t="s">
        <v>77</v>
      </c>
      <c r="H29" s="26" t="s">
        <v>78</v>
      </c>
      <c r="I29" s="26" t="s">
        <v>340</v>
      </c>
    </row>
    <row r="30" spans="1:9" ht="21.75" customHeight="1" x14ac:dyDescent="0.2">
      <c r="A30" s="22" t="s">
        <v>131</v>
      </c>
      <c r="B30" s="22" t="s">
        <v>123</v>
      </c>
      <c r="C30" s="23" t="s">
        <v>125</v>
      </c>
      <c r="D30" s="23" t="s">
        <v>129</v>
      </c>
      <c r="E30" s="24">
        <v>46188</v>
      </c>
      <c r="F30" s="5" t="s">
        <v>60</v>
      </c>
      <c r="G30" s="23" t="s">
        <v>81</v>
      </c>
      <c r="H30" s="23" t="s">
        <v>82</v>
      </c>
      <c r="I30" s="23" t="s">
        <v>340</v>
      </c>
    </row>
    <row r="31" spans="1:9" ht="21.75" customHeight="1" x14ac:dyDescent="0.2">
      <c r="A31" s="25" t="s">
        <v>132</v>
      </c>
      <c r="B31" s="25" t="s">
        <v>123</v>
      </c>
      <c r="C31" s="26" t="s">
        <v>127</v>
      </c>
      <c r="D31" s="26" t="s">
        <v>129</v>
      </c>
      <c r="E31" s="27">
        <v>46189</v>
      </c>
      <c r="F31" s="28" t="s">
        <v>16</v>
      </c>
      <c r="G31" s="26" t="s">
        <v>85</v>
      </c>
      <c r="H31" s="26" t="s">
        <v>86</v>
      </c>
      <c r="I31" s="26" t="s">
        <v>340</v>
      </c>
    </row>
    <row r="32" spans="1:9" ht="21.75" customHeight="1" x14ac:dyDescent="0.2">
      <c r="A32" s="22" t="s">
        <v>133</v>
      </c>
      <c r="B32" s="22" t="s">
        <v>134</v>
      </c>
      <c r="C32" s="23" t="s">
        <v>135</v>
      </c>
      <c r="D32" s="23" t="s">
        <v>136</v>
      </c>
      <c r="E32" s="24">
        <v>46184</v>
      </c>
      <c r="F32" s="5" t="s">
        <v>60</v>
      </c>
      <c r="G32" s="23" t="s">
        <v>23</v>
      </c>
      <c r="H32" s="23" t="s">
        <v>24</v>
      </c>
      <c r="I32" s="23" t="s">
        <v>340</v>
      </c>
    </row>
    <row r="33" spans="1:9" ht="21.75" customHeight="1" x14ac:dyDescent="0.2">
      <c r="A33" s="25" t="s">
        <v>137</v>
      </c>
      <c r="B33" s="25" t="s">
        <v>134</v>
      </c>
      <c r="C33" s="26" t="s">
        <v>135</v>
      </c>
      <c r="D33" s="26" t="s">
        <v>138</v>
      </c>
      <c r="E33" s="27">
        <v>46185</v>
      </c>
      <c r="F33" s="28" t="s">
        <v>16</v>
      </c>
      <c r="G33" s="26" t="s">
        <v>93</v>
      </c>
      <c r="H33" s="26" t="s">
        <v>94</v>
      </c>
      <c r="I33" s="26" t="s">
        <v>340</v>
      </c>
    </row>
    <row r="34" spans="1:9" ht="21.75" customHeight="1" x14ac:dyDescent="0.2">
      <c r="A34" s="22" t="s">
        <v>139</v>
      </c>
      <c r="B34" s="22" t="s">
        <v>134</v>
      </c>
      <c r="C34" s="23" t="s">
        <v>135</v>
      </c>
      <c r="D34" s="23" t="s">
        <v>140</v>
      </c>
      <c r="E34" s="24">
        <v>46186</v>
      </c>
      <c r="F34" s="5" t="s">
        <v>71</v>
      </c>
      <c r="G34" s="23" t="s">
        <v>61</v>
      </c>
      <c r="H34" s="23" t="s">
        <v>62</v>
      </c>
      <c r="I34" s="23" t="s">
        <v>340</v>
      </c>
    </row>
    <row r="35" spans="1:9" ht="21.75" customHeight="1" x14ac:dyDescent="0.2">
      <c r="A35" s="25" t="s">
        <v>141</v>
      </c>
      <c r="B35" s="25" t="s">
        <v>134</v>
      </c>
      <c r="C35" s="26" t="s">
        <v>136</v>
      </c>
      <c r="D35" s="26" t="s">
        <v>138</v>
      </c>
      <c r="E35" s="27">
        <v>46187</v>
      </c>
      <c r="F35" s="28" t="s">
        <v>76</v>
      </c>
      <c r="G35" s="26" t="s">
        <v>66</v>
      </c>
      <c r="H35" s="26" t="s">
        <v>67</v>
      </c>
      <c r="I35" s="26" t="s">
        <v>340</v>
      </c>
    </row>
    <row r="36" spans="1:9" ht="21.75" customHeight="1" x14ac:dyDescent="0.2">
      <c r="A36" s="22" t="s">
        <v>142</v>
      </c>
      <c r="B36" s="22" t="s">
        <v>134</v>
      </c>
      <c r="C36" s="23" t="s">
        <v>136</v>
      </c>
      <c r="D36" s="23" t="s">
        <v>140</v>
      </c>
      <c r="E36" s="24">
        <v>46188</v>
      </c>
      <c r="F36" s="5" t="s">
        <v>60</v>
      </c>
      <c r="G36" s="23" t="s">
        <v>72</v>
      </c>
      <c r="H36" s="23" t="s">
        <v>73</v>
      </c>
      <c r="I36" s="23" t="s">
        <v>340</v>
      </c>
    </row>
    <row r="37" spans="1:9" ht="21.75" customHeight="1" x14ac:dyDescent="0.2">
      <c r="A37" s="25" t="s">
        <v>143</v>
      </c>
      <c r="B37" s="25" t="s">
        <v>134</v>
      </c>
      <c r="C37" s="26" t="s">
        <v>138</v>
      </c>
      <c r="D37" s="26" t="s">
        <v>140</v>
      </c>
      <c r="E37" s="27">
        <v>46189</v>
      </c>
      <c r="F37" s="28" t="s">
        <v>16</v>
      </c>
      <c r="G37" s="26" t="s">
        <v>77</v>
      </c>
      <c r="H37" s="26" t="s">
        <v>78</v>
      </c>
      <c r="I37" s="26" t="s">
        <v>340</v>
      </c>
    </row>
    <row r="38" spans="1:9" ht="21.75" customHeight="1" x14ac:dyDescent="0.2">
      <c r="A38" s="22" t="s">
        <v>144</v>
      </c>
      <c r="B38" s="22" t="s">
        <v>145</v>
      </c>
      <c r="C38" s="23" t="s">
        <v>146</v>
      </c>
      <c r="D38" s="23" t="s">
        <v>147</v>
      </c>
      <c r="E38" s="24">
        <v>46184</v>
      </c>
      <c r="F38" s="5" t="s">
        <v>60</v>
      </c>
      <c r="G38" s="23" t="s">
        <v>81</v>
      </c>
      <c r="H38" s="23" t="s">
        <v>82</v>
      </c>
      <c r="I38" s="23" t="s">
        <v>340</v>
      </c>
    </row>
    <row r="39" spans="1:9" ht="21.75" customHeight="1" x14ac:dyDescent="0.2">
      <c r="A39" s="25" t="s">
        <v>148</v>
      </c>
      <c r="B39" s="25" t="s">
        <v>145</v>
      </c>
      <c r="C39" s="26" t="s">
        <v>146</v>
      </c>
      <c r="D39" s="26" t="s">
        <v>149</v>
      </c>
      <c r="E39" s="27">
        <v>46185</v>
      </c>
      <c r="F39" s="28" t="s">
        <v>16</v>
      </c>
      <c r="G39" s="26" t="s">
        <v>85</v>
      </c>
      <c r="H39" s="26" t="s">
        <v>86</v>
      </c>
      <c r="I39" s="26" t="s">
        <v>340</v>
      </c>
    </row>
    <row r="40" spans="1:9" ht="21.75" customHeight="1" x14ac:dyDescent="0.2">
      <c r="A40" s="22" t="s">
        <v>150</v>
      </c>
      <c r="B40" s="22" t="s">
        <v>145</v>
      </c>
      <c r="C40" s="23" t="s">
        <v>146</v>
      </c>
      <c r="D40" s="23" t="s">
        <v>151</v>
      </c>
      <c r="E40" s="24">
        <v>46186</v>
      </c>
      <c r="F40" s="5" t="s">
        <v>71</v>
      </c>
      <c r="G40" s="23" t="s">
        <v>23</v>
      </c>
      <c r="H40" s="23" t="s">
        <v>24</v>
      </c>
      <c r="I40" s="23" t="s">
        <v>340</v>
      </c>
    </row>
    <row r="41" spans="1:9" ht="21.75" customHeight="1" x14ac:dyDescent="0.2">
      <c r="A41" s="25" t="s">
        <v>152</v>
      </c>
      <c r="B41" s="25" t="s">
        <v>145</v>
      </c>
      <c r="C41" s="26" t="s">
        <v>147</v>
      </c>
      <c r="D41" s="26" t="s">
        <v>149</v>
      </c>
      <c r="E41" s="27">
        <v>46187</v>
      </c>
      <c r="F41" s="28" t="s">
        <v>76</v>
      </c>
      <c r="G41" s="26" t="s">
        <v>93</v>
      </c>
      <c r="H41" s="26" t="s">
        <v>94</v>
      </c>
      <c r="I41" s="26" t="s">
        <v>340</v>
      </c>
    </row>
    <row r="42" spans="1:9" ht="21.75" customHeight="1" x14ac:dyDescent="0.2">
      <c r="A42" s="22" t="s">
        <v>153</v>
      </c>
      <c r="B42" s="22" t="s">
        <v>145</v>
      </c>
      <c r="C42" s="23" t="s">
        <v>147</v>
      </c>
      <c r="D42" s="23" t="s">
        <v>151</v>
      </c>
      <c r="E42" s="24">
        <v>46188</v>
      </c>
      <c r="F42" s="5" t="s">
        <v>60</v>
      </c>
      <c r="G42" s="23" t="s">
        <v>61</v>
      </c>
      <c r="H42" s="23" t="s">
        <v>62</v>
      </c>
      <c r="I42" s="23" t="s">
        <v>340</v>
      </c>
    </row>
    <row r="43" spans="1:9" ht="21.75" customHeight="1" x14ac:dyDescent="0.2">
      <c r="A43" s="25" t="s">
        <v>154</v>
      </c>
      <c r="B43" s="25" t="s">
        <v>145</v>
      </c>
      <c r="C43" s="26" t="s">
        <v>149</v>
      </c>
      <c r="D43" s="26" t="s">
        <v>151</v>
      </c>
      <c r="E43" s="27">
        <v>46189</v>
      </c>
      <c r="F43" s="28" t="s">
        <v>16</v>
      </c>
      <c r="G43" s="26" t="s">
        <v>66</v>
      </c>
      <c r="H43" s="26" t="s">
        <v>67</v>
      </c>
      <c r="I43" s="26" t="s">
        <v>340</v>
      </c>
    </row>
    <row r="44" spans="1:9" ht="21.75" customHeight="1" x14ac:dyDescent="0.2">
      <c r="A44" s="22" t="s">
        <v>155</v>
      </c>
      <c r="B44" s="22" t="s">
        <v>156</v>
      </c>
      <c r="C44" s="23" t="s">
        <v>157</v>
      </c>
      <c r="D44" s="23" t="s">
        <v>158</v>
      </c>
      <c r="E44" s="24">
        <v>46184</v>
      </c>
      <c r="F44" s="5" t="s">
        <v>60</v>
      </c>
      <c r="G44" s="23" t="s">
        <v>72</v>
      </c>
      <c r="H44" s="23" t="s">
        <v>73</v>
      </c>
      <c r="I44" s="23" t="s">
        <v>340</v>
      </c>
    </row>
    <row r="45" spans="1:9" ht="21.75" customHeight="1" x14ac:dyDescent="0.2">
      <c r="A45" s="25" t="s">
        <v>159</v>
      </c>
      <c r="B45" s="25" t="s">
        <v>156</v>
      </c>
      <c r="C45" s="26" t="s">
        <v>157</v>
      </c>
      <c r="D45" s="26" t="s">
        <v>160</v>
      </c>
      <c r="E45" s="27">
        <v>46185</v>
      </c>
      <c r="F45" s="28" t="s">
        <v>16</v>
      </c>
      <c r="G45" s="26" t="s">
        <v>77</v>
      </c>
      <c r="H45" s="26" t="s">
        <v>78</v>
      </c>
      <c r="I45" s="26" t="s">
        <v>340</v>
      </c>
    </row>
    <row r="46" spans="1:9" ht="21.75" customHeight="1" x14ac:dyDescent="0.2">
      <c r="A46" s="22" t="s">
        <v>161</v>
      </c>
      <c r="B46" s="22" t="s">
        <v>156</v>
      </c>
      <c r="C46" s="23" t="s">
        <v>157</v>
      </c>
      <c r="D46" s="23" t="s">
        <v>162</v>
      </c>
      <c r="E46" s="24">
        <v>46186</v>
      </c>
      <c r="F46" s="5" t="s">
        <v>71</v>
      </c>
      <c r="G46" s="23" t="s">
        <v>81</v>
      </c>
      <c r="H46" s="23" t="s">
        <v>82</v>
      </c>
      <c r="I46" s="23" t="s">
        <v>340</v>
      </c>
    </row>
    <row r="47" spans="1:9" ht="21.75" customHeight="1" x14ac:dyDescent="0.2">
      <c r="A47" s="25" t="s">
        <v>163</v>
      </c>
      <c r="B47" s="25" t="s">
        <v>156</v>
      </c>
      <c r="C47" s="26" t="s">
        <v>158</v>
      </c>
      <c r="D47" s="26" t="s">
        <v>160</v>
      </c>
      <c r="E47" s="27">
        <v>46187</v>
      </c>
      <c r="F47" s="28" t="s">
        <v>76</v>
      </c>
      <c r="G47" s="26" t="s">
        <v>85</v>
      </c>
      <c r="H47" s="26" t="s">
        <v>86</v>
      </c>
      <c r="I47" s="26" t="s">
        <v>340</v>
      </c>
    </row>
    <row r="48" spans="1:9" ht="21.75" customHeight="1" x14ac:dyDescent="0.2">
      <c r="A48" s="22" t="s">
        <v>164</v>
      </c>
      <c r="B48" s="22" t="s">
        <v>156</v>
      </c>
      <c r="C48" s="23" t="s">
        <v>158</v>
      </c>
      <c r="D48" s="23" t="s">
        <v>162</v>
      </c>
      <c r="E48" s="24">
        <v>46188</v>
      </c>
      <c r="F48" s="5" t="s">
        <v>60</v>
      </c>
      <c r="G48" s="23" t="s">
        <v>23</v>
      </c>
      <c r="H48" s="23" t="s">
        <v>24</v>
      </c>
      <c r="I48" s="23" t="s">
        <v>340</v>
      </c>
    </row>
    <row r="49" spans="1:9" ht="21.75" customHeight="1" x14ac:dyDescent="0.2">
      <c r="A49" s="25" t="s">
        <v>165</v>
      </c>
      <c r="B49" s="25" t="s">
        <v>156</v>
      </c>
      <c r="C49" s="26" t="s">
        <v>160</v>
      </c>
      <c r="D49" s="26" t="s">
        <v>162</v>
      </c>
      <c r="E49" s="27">
        <v>46189</v>
      </c>
      <c r="F49" s="28" t="s">
        <v>16</v>
      </c>
      <c r="G49" s="26" t="s">
        <v>93</v>
      </c>
      <c r="H49" s="26" t="s">
        <v>94</v>
      </c>
      <c r="I49" s="26" t="s">
        <v>340</v>
      </c>
    </row>
    <row r="50" spans="1:9" ht="21.75" customHeight="1" x14ac:dyDescent="0.2">
      <c r="A50" s="22" t="s">
        <v>166</v>
      </c>
      <c r="B50" s="22" t="s">
        <v>167</v>
      </c>
      <c r="C50" s="23" t="s">
        <v>168</v>
      </c>
      <c r="D50" s="23" t="s">
        <v>169</v>
      </c>
      <c r="E50" s="24">
        <v>46184</v>
      </c>
      <c r="F50" s="5" t="s">
        <v>60</v>
      </c>
      <c r="G50" s="23" t="s">
        <v>61</v>
      </c>
      <c r="H50" s="23" t="s">
        <v>62</v>
      </c>
      <c r="I50" s="23" t="s">
        <v>340</v>
      </c>
    </row>
    <row r="51" spans="1:9" ht="21.75" customHeight="1" x14ac:dyDescent="0.2">
      <c r="A51" s="25" t="s">
        <v>170</v>
      </c>
      <c r="B51" s="25" t="s">
        <v>167</v>
      </c>
      <c r="C51" s="26" t="s">
        <v>168</v>
      </c>
      <c r="D51" s="26" t="s">
        <v>171</v>
      </c>
      <c r="E51" s="27">
        <v>46185</v>
      </c>
      <c r="F51" s="28" t="s">
        <v>16</v>
      </c>
      <c r="G51" s="26" t="s">
        <v>66</v>
      </c>
      <c r="H51" s="26" t="s">
        <v>67</v>
      </c>
      <c r="I51" s="26" t="s">
        <v>340</v>
      </c>
    </row>
    <row r="52" spans="1:9" ht="21.75" customHeight="1" x14ac:dyDescent="0.2">
      <c r="A52" s="22" t="s">
        <v>172</v>
      </c>
      <c r="B52" s="22" t="s">
        <v>167</v>
      </c>
      <c r="C52" s="23" t="s">
        <v>168</v>
      </c>
      <c r="D52" s="23" t="s">
        <v>173</v>
      </c>
      <c r="E52" s="24">
        <v>46186</v>
      </c>
      <c r="F52" s="5" t="s">
        <v>71</v>
      </c>
      <c r="G52" s="23" t="s">
        <v>72</v>
      </c>
      <c r="H52" s="23" t="s">
        <v>73</v>
      </c>
      <c r="I52" s="23" t="s">
        <v>340</v>
      </c>
    </row>
    <row r="53" spans="1:9" ht="21.75" customHeight="1" x14ac:dyDescent="0.2">
      <c r="A53" s="25" t="s">
        <v>174</v>
      </c>
      <c r="B53" s="25" t="s">
        <v>167</v>
      </c>
      <c r="C53" s="26" t="s">
        <v>169</v>
      </c>
      <c r="D53" s="26" t="s">
        <v>171</v>
      </c>
      <c r="E53" s="27">
        <v>46187</v>
      </c>
      <c r="F53" s="28" t="s">
        <v>76</v>
      </c>
      <c r="G53" s="26" t="s">
        <v>77</v>
      </c>
      <c r="H53" s="26" t="s">
        <v>78</v>
      </c>
      <c r="I53" s="26" t="s">
        <v>340</v>
      </c>
    </row>
    <row r="54" spans="1:9" ht="21.75" customHeight="1" x14ac:dyDescent="0.2">
      <c r="A54" s="22" t="s">
        <v>175</v>
      </c>
      <c r="B54" s="22" t="s">
        <v>167</v>
      </c>
      <c r="C54" s="23" t="s">
        <v>169</v>
      </c>
      <c r="D54" s="23" t="s">
        <v>173</v>
      </c>
      <c r="E54" s="24">
        <v>46188</v>
      </c>
      <c r="F54" s="5" t="s">
        <v>60</v>
      </c>
      <c r="G54" s="23" t="s">
        <v>81</v>
      </c>
      <c r="H54" s="23" t="s">
        <v>82</v>
      </c>
      <c r="I54" s="23" t="s">
        <v>340</v>
      </c>
    </row>
    <row r="55" spans="1:9" ht="21.75" customHeight="1" x14ac:dyDescent="0.2">
      <c r="A55" s="25" t="s">
        <v>176</v>
      </c>
      <c r="B55" s="25" t="s">
        <v>167</v>
      </c>
      <c r="C55" s="26" t="s">
        <v>171</v>
      </c>
      <c r="D55" s="26" t="s">
        <v>173</v>
      </c>
      <c r="E55" s="27">
        <v>46189</v>
      </c>
      <c r="F55" s="28" t="s">
        <v>16</v>
      </c>
      <c r="G55" s="26" t="s">
        <v>85</v>
      </c>
      <c r="H55" s="26" t="s">
        <v>86</v>
      </c>
      <c r="I55" s="26" t="s">
        <v>340</v>
      </c>
    </row>
    <row r="56" spans="1:9" ht="21.75" customHeight="1" x14ac:dyDescent="0.2">
      <c r="A56" s="22" t="s">
        <v>177</v>
      </c>
      <c r="B56" s="22" t="s">
        <v>178</v>
      </c>
      <c r="C56" s="23" t="s">
        <v>179</v>
      </c>
      <c r="D56" s="23" t="s">
        <v>180</v>
      </c>
      <c r="E56" s="24">
        <v>46184</v>
      </c>
      <c r="F56" s="5" t="s">
        <v>60</v>
      </c>
      <c r="G56" s="23" t="s">
        <v>23</v>
      </c>
      <c r="H56" s="23" t="s">
        <v>24</v>
      </c>
      <c r="I56" s="23" t="s">
        <v>340</v>
      </c>
    </row>
    <row r="57" spans="1:9" ht="21.75" customHeight="1" x14ac:dyDescent="0.2">
      <c r="A57" s="25" t="s">
        <v>181</v>
      </c>
      <c r="B57" s="25" t="s">
        <v>178</v>
      </c>
      <c r="C57" s="26" t="s">
        <v>179</v>
      </c>
      <c r="D57" s="26" t="s">
        <v>182</v>
      </c>
      <c r="E57" s="27">
        <v>46185</v>
      </c>
      <c r="F57" s="28" t="s">
        <v>16</v>
      </c>
      <c r="G57" s="26" t="s">
        <v>93</v>
      </c>
      <c r="H57" s="26" t="s">
        <v>94</v>
      </c>
      <c r="I57" s="26" t="s">
        <v>340</v>
      </c>
    </row>
    <row r="58" spans="1:9" ht="21.75" customHeight="1" x14ac:dyDescent="0.2">
      <c r="A58" s="22" t="s">
        <v>183</v>
      </c>
      <c r="B58" s="22" t="s">
        <v>178</v>
      </c>
      <c r="C58" s="23" t="s">
        <v>179</v>
      </c>
      <c r="D58" s="23" t="s">
        <v>184</v>
      </c>
      <c r="E58" s="24">
        <v>46186</v>
      </c>
      <c r="F58" s="5" t="s">
        <v>71</v>
      </c>
      <c r="G58" s="23" t="s">
        <v>61</v>
      </c>
      <c r="H58" s="23" t="s">
        <v>62</v>
      </c>
      <c r="I58" s="23" t="s">
        <v>340</v>
      </c>
    </row>
    <row r="59" spans="1:9" ht="21.75" customHeight="1" x14ac:dyDescent="0.2">
      <c r="A59" s="25" t="s">
        <v>185</v>
      </c>
      <c r="B59" s="25" t="s">
        <v>178</v>
      </c>
      <c r="C59" s="26" t="s">
        <v>180</v>
      </c>
      <c r="D59" s="26" t="s">
        <v>182</v>
      </c>
      <c r="E59" s="27">
        <v>46187</v>
      </c>
      <c r="F59" s="28" t="s">
        <v>76</v>
      </c>
      <c r="G59" s="26" t="s">
        <v>66</v>
      </c>
      <c r="H59" s="26" t="s">
        <v>67</v>
      </c>
      <c r="I59" s="26" t="s">
        <v>340</v>
      </c>
    </row>
    <row r="60" spans="1:9" ht="21.75" customHeight="1" x14ac:dyDescent="0.2">
      <c r="A60" s="22" t="s">
        <v>186</v>
      </c>
      <c r="B60" s="22" t="s">
        <v>178</v>
      </c>
      <c r="C60" s="23" t="s">
        <v>180</v>
      </c>
      <c r="D60" s="23" t="s">
        <v>184</v>
      </c>
      <c r="E60" s="24">
        <v>46188</v>
      </c>
      <c r="F60" s="5" t="s">
        <v>60</v>
      </c>
      <c r="G60" s="23" t="s">
        <v>72</v>
      </c>
      <c r="H60" s="23" t="s">
        <v>73</v>
      </c>
      <c r="I60" s="23" t="s">
        <v>340</v>
      </c>
    </row>
    <row r="61" spans="1:9" ht="21.75" customHeight="1" x14ac:dyDescent="0.2">
      <c r="A61" s="25" t="s">
        <v>187</v>
      </c>
      <c r="B61" s="25" t="s">
        <v>178</v>
      </c>
      <c r="C61" s="26" t="s">
        <v>182</v>
      </c>
      <c r="D61" s="26" t="s">
        <v>184</v>
      </c>
      <c r="E61" s="27">
        <v>46189</v>
      </c>
      <c r="F61" s="28" t="s">
        <v>16</v>
      </c>
      <c r="G61" s="26" t="s">
        <v>77</v>
      </c>
      <c r="H61" s="26" t="s">
        <v>78</v>
      </c>
      <c r="I61" s="26" t="s">
        <v>340</v>
      </c>
    </row>
    <row r="62" spans="1:9" ht="21.75" customHeight="1" x14ac:dyDescent="0.2">
      <c r="A62" s="22" t="s">
        <v>188</v>
      </c>
      <c r="B62" s="22" t="s">
        <v>189</v>
      </c>
      <c r="C62" s="23" t="s">
        <v>190</v>
      </c>
      <c r="D62" s="23" t="s">
        <v>191</v>
      </c>
      <c r="E62" s="24">
        <v>46184</v>
      </c>
      <c r="F62" s="5" t="s">
        <v>60</v>
      </c>
      <c r="G62" s="23" t="s">
        <v>81</v>
      </c>
      <c r="H62" s="23" t="s">
        <v>82</v>
      </c>
      <c r="I62" s="23" t="s">
        <v>340</v>
      </c>
    </row>
    <row r="63" spans="1:9" ht="21.75" customHeight="1" x14ac:dyDescent="0.2">
      <c r="A63" s="25" t="s">
        <v>192</v>
      </c>
      <c r="B63" s="25" t="s">
        <v>189</v>
      </c>
      <c r="C63" s="26" t="s">
        <v>190</v>
      </c>
      <c r="D63" s="26" t="s">
        <v>193</v>
      </c>
      <c r="E63" s="27">
        <v>46185</v>
      </c>
      <c r="F63" s="28" t="s">
        <v>16</v>
      </c>
      <c r="G63" s="26" t="s">
        <v>85</v>
      </c>
      <c r="H63" s="26" t="s">
        <v>86</v>
      </c>
      <c r="I63" s="26" t="s">
        <v>340</v>
      </c>
    </row>
    <row r="64" spans="1:9" ht="21.75" customHeight="1" x14ac:dyDescent="0.2">
      <c r="A64" s="22" t="s">
        <v>194</v>
      </c>
      <c r="B64" s="22" t="s">
        <v>189</v>
      </c>
      <c r="C64" s="23" t="s">
        <v>190</v>
      </c>
      <c r="D64" s="23" t="s">
        <v>195</v>
      </c>
      <c r="E64" s="24">
        <v>46186</v>
      </c>
      <c r="F64" s="5" t="s">
        <v>71</v>
      </c>
      <c r="G64" s="23" t="s">
        <v>23</v>
      </c>
      <c r="H64" s="23" t="s">
        <v>24</v>
      </c>
      <c r="I64" s="23" t="s">
        <v>340</v>
      </c>
    </row>
    <row r="65" spans="1:9" ht="21.75" customHeight="1" x14ac:dyDescent="0.2">
      <c r="A65" s="25" t="s">
        <v>196</v>
      </c>
      <c r="B65" s="25" t="s">
        <v>189</v>
      </c>
      <c r="C65" s="26" t="s">
        <v>191</v>
      </c>
      <c r="D65" s="26" t="s">
        <v>193</v>
      </c>
      <c r="E65" s="27">
        <v>46187</v>
      </c>
      <c r="F65" s="28" t="s">
        <v>76</v>
      </c>
      <c r="G65" s="26" t="s">
        <v>93</v>
      </c>
      <c r="H65" s="26" t="s">
        <v>94</v>
      </c>
      <c r="I65" s="26" t="s">
        <v>340</v>
      </c>
    </row>
    <row r="66" spans="1:9" ht="21.75" customHeight="1" x14ac:dyDescent="0.2">
      <c r="A66" s="22" t="s">
        <v>197</v>
      </c>
      <c r="B66" s="22" t="s">
        <v>189</v>
      </c>
      <c r="C66" s="23" t="s">
        <v>191</v>
      </c>
      <c r="D66" s="23" t="s">
        <v>195</v>
      </c>
      <c r="E66" s="24">
        <v>46188</v>
      </c>
      <c r="F66" s="5" t="s">
        <v>60</v>
      </c>
      <c r="G66" s="23" t="s">
        <v>61</v>
      </c>
      <c r="H66" s="23" t="s">
        <v>62</v>
      </c>
      <c r="I66" s="23" t="s">
        <v>340</v>
      </c>
    </row>
    <row r="67" spans="1:9" ht="21.75" customHeight="1" x14ac:dyDescent="0.2">
      <c r="A67" s="25" t="s">
        <v>198</v>
      </c>
      <c r="B67" s="25" t="s">
        <v>189</v>
      </c>
      <c r="C67" s="26" t="s">
        <v>193</v>
      </c>
      <c r="D67" s="26" t="s">
        <v>195</v>
      </c>
      <c r="E67" s="27">
        <v>46189</v>
      </c>
      <c r="F67" s="28" t="s">
        <v>16</v>
      </c>
      <c r="G67" s="26" t="s">
        <v>66</v>
      </c>
      <c r="H67" s="26" t="s">
        <v>67</v>
      </c>
      <c r="I67" s="26" t="s">
        <v>340</v>
      </c>
    </row>
    <row r="68" spans="1:9" ht="21.75" customHeight="1" x14ac:dyDescent="0.2">
      <c r="A68" s="22" t="s">
        <v>199</v>
      </c>
      <c r="B68" s="22" t="s">
        <v>200</v>
      </c>
      <c r="C68" s="23" t="s">
        <v>201</v>
      </c>
      <c r="D68" s="23" t="s">
        <v>202</v>
      </c>
      <c r="E68" s="24">
        <v>46184</v>
      </c>
      <c r="F68" s="5" t="s">
        <v>60</v>
      </c>
      <c r="G68" s="23" t="s">
        <v>72</v>
      </c>
      <c r="H68" s="23" t="s">
        <v>73</v>
      </c>
      <c r="I68" s="23" t="s">
        <v>340</v>
      </c>
    </row>
    <row r="69" spans="1:9" ht="21.75" customHeight="1" x14ac:dyDescent="0.2">
      <c r="A69" s="25" t="s">
        <v>203</v>
      </c>
      <c r="B69" s="25" t="s">
        <v>200</v>
      </c>
      <c r="C69" s="26" t="s">
        <v>201</v>
      </c>
      <c r="D69" s="26" t="s">
        <v>204</v>
      </c>
      <c r="E69" s="27">
        <v>46185</v>
      </c>
      <c r="F69" s="28" t="s">
        <v>16</v>
      </c>
      <c r="G69" s="26" t="s">
        <v>77</v>
      </c>
      <c r="H69" s="26" t="s">
        <v>78</v>
      </c>
      <c r="I69" s="26" t="s">
        <v>340</v>
      </c>
    </row>
    <row r="70" spans="1:9" ht="21.75" customHeight="1" x14ac:dyDescent="0.2">
      <c r="A70" s="22" t="s">
        <v>205</v>
      </c>
      <c r="B70" s="22" t="s">
        <v>200</v>
      </c>
      <c r="C70" s="23" t="s">
        <v>201</v>
      </c>
      <c r="D70" s="23" t="s">
        <v>206</v>
      </c>
      <c r="E70" s="24">
        <v>46186</v>
      </c>
      <c r="F70" s="5" t="s">
        <v>71</v>
      </c>
      <c r="G70" s="23" t="s">
        <v>81</v>
      </c>
      <c r="H70" s="23" t="s">
        <v>82</v>
      </c>
      <c r="I70" s="23" t="s">
        <v>340</v>
      </c>
    </row>
    <row r="71" spans="1:9" ht="21.75" customHeight="1" x14ac:dyDescent="0.2">
      <c r="A71" s="25" t="s">
        <v>207</v>
      </c>
      <c r="B71" s="25" t="s">
        <v>200</v>
      </c>
      <c r="C71" s="26" t="s">
        <v>202</v>
      </c>
      <c r="D71" s="26" t="s">
        <v>204</v>
      </c>
      <c r="E71" s="27">
        <v>46187</v>
      </c>
      <c r="F71" s="28" t="s">
        <v>76</v>
      </c>
      <c r="G71" s="26" t="s">
        <v>85</v>
      </c>
      <c r="H71" s="26" t="s">
        <v>86</v>
      </c>
      <c r="I71" s="26" t="s">
        <v>340</v>
      </c>
    </row>
    <row r="72" spans="1:9" ht="21.75" customHeight="1" x14ac:dyDescent="0.2">
      <c r="A72" s="22" t="s">
        <v>208</v>
      </c>
      <c r="B72" s="22" t="s">
        <v>200</v>
      </c>
      <c r="C72" s="23" t="s">
        <v>202</v>
      </c>
      <c r="D72" s="23" t="s">
        <v>206</v>
      </c>
      <c r="E72" s="24">
        <v>46188</v>
      </c>
      <c r="F72" s="5" t="s">
        <v>60</v>
      </c>
      <c r="G72" s="23" t="s">
        <v>23</v>
      </c>
      <c r="H72" s="23" t="s">
        <v>24</v>
      </c>
      <c r="I72" s="23" t="s">
        <v>340</v>
      </c>
    </row>
    <row r="73" spans="1:9" ht="21.75" customHeight="1" x14ac:dyDescent="0.2">
      <c r="A73" s="25" t="s">
        <v>209</v>
      </c>
      <c r="B73" s="25" t="s">
        <v>200</v>
      </c>
      <c r="C73" s="26" t="s">
        <v>204</v>
      </c>
      <c r="D73" s="26" t="s">
        <v>206</v>
      </c>
      <c r="E73" s="27">
        <v>46189</v>
      </c>
      <c r="F73" s="28" t="s">
        <v>16</v>
      </c>
      <c r="G73" s="26" t="s">
        <v>93</v>
      </c>
      <c r="H73" s="26" t="s">
        <v>94</v>
      </c>
      <c r="I73" s="26" t="s">
        <v>340</v>
      </c>
    </row>
  </sheetData>
  <sheetProtection password="CE4B" sheet="1"/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INSTRUCCIONES</vt:lpstr>
      <vt:lpstr>1_GRUPOS</vt:lpstr>
      <vt:lpstr>_CALC</vt:lpstr>
      <vt:lpstr>TABLA_GRUPOS</vt:lpstr>
      <vt:lpstr>2_16AVOS</vt:lpstr>
      <vt:lpstr>3_OCTAVOS</vt:lpstr>
      <vt:lpstr>4_CUARTOS</vt:lpstr>
      <vt:lpstr>5_SEMIS</vt:lpstr>
      <vt:lpstr>6_FINAL</vt:lpstr>
      <vt:lpstr>CATALOGO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Israel Gómez Millán</cp:lastModifiedBy>
  <cp:revision>0</cp:revision>
  <dcterms:created xsi:type="dcterms:W3CDTF">2026-03-29T21:56:21Z</dcterms:created>
  <dcterms:modified xsi:type="dcterms:W3CDTF">2026-04-01T19:38:06Z</dcterms:modified>
  <dc:language>en-US</dc:language>
</cp:coreProperties>
</file>